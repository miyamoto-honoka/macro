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\Desktop\"/>
    </mc:Choice>
  </mc:AlternateContent>
  <xr:revisionPtr revIDLastSave="0" documentId="13_ncr:1_{214AC9D0-D343-4670-BC96-E1AEB371B28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</sheets>
  <definedNames>
    <definedName name="_xlnm.Print_Area" localSheetId="0">Sheet1!$A$1:$AT$64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52" i="1" l="1"/>
  <c r="BJ51" i="1"/>
  <c r="BJ43" i="1" l="1"/>
  <c r="BK43" i="1" s="1"/>
  <c r="BJ41" i="1"/>
  <c r="BK41" i="1" s="1"/>
  <c r="BJ39" i="1"/>
  <c r="BJ38" i="1"/>
  <c r="BK11" i="1"/>
  <c r="BK12" i="1" s="1"/>
  <c r="BK52" i="1" s="1"/>
  <c r="BD54" i="1" s="1"/>
  <c r="BC54" i="1" s="1"/>
  <c r="BJ11" i="1"/>
  <c r="BK38" i="1" l="1"/>
  <c r="AK52" i="1"/>
  <c r="AK51" i="1"/>
  <c r="BK39" i="1"/>
  <c r="AK44" i="1"/>
  <c r="AK40" i="1"/>
  <c r="AK43" i="1"/>
  <c r="AK39" i="1"/>
  <c r="AK38" i="1"/>
  <c r="AK41" i="1"/>
  <c r="AK42" i="1"/>
  <c r="BD46" i="1" l="1"/>
  <c r="BC46" i="1" s="1"/>
</calcChain>
</file>

<file path=xl/sharedStrings.xml><?xml version="1.0" encoding="utf-8"?>
<sst xmlns="http://schemas.openxmlformats.org/spreadsheetml/2006/main" count="82" uniqueCount="59">
  <si>
    <t>受付日</t>
    <rPh sb="0" eb="3">
      <t>ウケツケビ</t>
    </rPh>
    <phoneticPr fontId="1"/>
  </si>
  <si>
    <t>お客様名</t>
    <rPh sb="1" eb="3">
      <t>キャクサマ</t>
    </rPh>
    <rPh sb="3" eb="4">
      <t>メイ</t>
    </rPh>
    <phoneticPr fontId="1"/>
  </si>
  <si>
    <t>店舗名</t>
    <rPh sb="0" eb="3">
      <t>テンポメイ</t>
    </rPh>
    <phoneticPr fontId="1"/>
  </si>
  <si>
    <t>ご担当者</t>
    <rPh sb="1" eb="4">
      <t>タントウシャ</t>
    </rPh>
    <phoneticPr fontId="1"/>
  </si>
  <si>
    <t>Sincere 別注オーダーシート</t>
    <rPh sb="8" eb="10">
      <t>ベッチュウ</t>
    </rPh>
    <phoneticPr fontId="1"/>
  </si>
  <si>
    <r>
      <t>見本お預かり</t>
    </r>
    <r>
      <rPr>
        <sz val="10"/>
        <color theme="1"/>
        <rFont val="ＭＳ Ｐ明朝"/>
        <family val="1"/>
        <charset val="128"/>
      </rPr>
      <t>（同様の場合はSTEP1の幅のみ記入）</t>
    </r>
    <rPh sb="0" eb="2">
      <t>ミホン</t>
    </rPh>
    <rPh sb="3" eb="4">
      <t>アズ</t>
    </rPh>
    <rPh sb="7" eb="9">
      <t>ドウヨウ</t>
    </rPh>
    <rPh sb="10" eb="12">
      <t>バアイ</t>
    </rPh>
    <rPh sb="19" eb="20">
      <t>ハバ</t>
    </rPh>
    <rPh sb="22" eb="24">
      <t>キニュウ</t>
    </rPh>
    <phoneticPr fontId="1"/>
  </si>
  <si>
    <t>STEP1</t>
  </si>
  <si>
    <t>取付幅</t>
    <rPh sb="0" eb="2">
      <t>トリツケ</t>
    </rPh>
    <rPh sb="2" eb="3">
      <t>ハバ</t>
    </rPh>
    <phoneticPr fontId="1"/>
  </si>
  <si>
    <t>mm</t>
    <phoneticPr fontId="1"/>
  </si>
  <si>
    <t>(</t>
    <phoneticPr fontId="1"/>
  </si>
  <si>
    <t>女性(65mm-110mm)</t>
    <rPh sb="0" eb="2">
      <t>ジョセイ</t>
    </rPh>
    <phoneticPr fontId="1"/>
  </si>
  <si>
    <t>男性(75mm-115mm)</t>
    <rPh sb="0" eb="2">
      <t>ダンセイ</t>
    </rPh>
    <phoneticPr fontId="1"/>
  </si>
  <si>
    <t>その他(</t>
    <rPh sb="2" eb="3">
      <t>タ</t>
    </rPh>
    <phoneticPr fontId="1"/>
  </si>
  <si>
    <t>mm-</t>
    <phoneticPr fontId="1"/>
  </si>
  <si>
    <t>尾錠幅</t>
    <phoneticPr fontId="1"/>
  </si>
  <si>
    <t>STEP2</t>
    <phoneticPr fontId="1"/>
  </si>
  <si>
    <t>●</t>
    <phoneticPr fontId="1"/>
  </si>
  <si>
    <t>幅</t>
    <phoneticPr fontId="1"/>
  </si>
  <si>
    <t>長さ</t>
    <phoneticPr fontId="1"/>
  </si>
  <si>
    <t>剣先形状</t>
    <phoneticPr fontId="1"/>
  </si>
  <si>
    <t>厚み</t>
    <phoneticPr fontId="1"/>
  </si>
  <si>
    <t>STEP3</t>
    <phoneticPr fontId="1"/>
  </si>
  <si>
    <t>表の素材</t>
    <rPh sb="0" eb="1">
      <t>オモテ</t>
    </rPh>
    <rPh sb="2" eb="4">
      <t>ソザイ</t>
    </rPh>
    <phoneticPr fontId="1"/>
  </si>
  <si>
    <t>21mm～24mm</t>
    <phoneticPr fontId="1"/>
  </si>
  <si>
    <t>～20mm</t>
    <phoneticPr fontId="1"/>
  </si>
  <si>
    <t>カーフ</t>
    <phoneticPr fontId="1"/>
  </si>
  <si>
    <t>パイソン</t>
    <phoneticPr fontId="1"/>
  </si>
  <si>
    <t>アリゲーター</t>
    <phoneticPr fontId="1"/>
  </si>
  <si>
    <t>カイマンワニ</t>
    <phoneticPr fontId="1"/>
  </si>
  <si>
    <t>小売店用</t>
    <rPh sb="0" eb="3">
      <t>コウリテン</t>
    </rPh>
    <rPh sb="3" eb="4">
      <t>ヨウ</t>
    </rPh>
    <phoneticPr fontId="1"/>
  </si>
  <si>
    <t>チックタック用</t>
    <rPh sb="6" eb="7">
      <t>ヨウ</t>
    </rPh>
    <phoneticPr fontId="1"/>
  </si>
  <si>
    <t>チック</t>
    <phoneticPr fontId="1"/>
  </si>
  <si>
    <t>カラー名(No.)</t>
    <rPh sb="3" eb="4">
      <t>メイ</t>
    </rPh>
    <phoneticPr fontId="1"/>
  </si>
  <si>
    <t>ツヤ</t>
    <phoneticPr fontId="1"/>
  </si>
  <si>
    <t>円</t>
    <rPh sb="0" eb="1">
      <t>エン</t>
    </rPh>
    <phoneticPr fontId="1"/>
  </si>
  <si>
    <t>STEP4</t>
  </si>
  <si>
    <t>ステッチの色</t>
    <rPh sb="5" eb="6">
      <t>イロ</t>
    </rPh>
    <phoneticPr fontId="1"/>
  </si>
  <si>
    <t>)</t>
    <phoneticPr fontId="1"/>
  </si>
  <si>
    <t>尾錠の色</t>
    <rPh sb="0" eb="2">
      <t>ビジョウ</t>
    </rPh>
    <rPh sb="3" eb="4">
      <t>イロ</t>
    </rPh>
    <phoneticPr fontId="1"/>
  </si>
  <si>
    <t>※ツヤ無ブラック、ツヤ無ブラウンはクロコダイルとなります。</t>
    <phoneticPr fontId="1"/>
  </si>
  <si>
    <t>裏の素材</t>
    <rPh sb="0" eb="1">
      <t>ウラ</t>
    </rPh>
    <rPh sb="2" eb="4">
      <t>ソザイ</t>
    </rPh>
    <phoneticPr fontId="1"/>
  </si>
  <si>
    <t>カーフウレタン</t>
    <phoneticPr fontId="1"/>
  </si>
  <si>
    <t>ラバー</t>
    <phoneticPr fontId="1"/>
  </si>
  <si>
    <t>STEP5</t>
    <phoneticPr fontId="1"/>
  </si>
  <si>
    <t>カラー</t>
    <phoneticPr fontId="1"/>
  </si>
  <si>
    <t>想定</t>
    <rPh sb="0" eb="2">
      <t>ソウテイ</t>
    </rPh>
    <phoneticPr fontId="1"/>
  </si>
  <si>
    <t>判定</t>
    <rPh sb="0" eb="2">
      <t>ハンテイ</t>
    </rPh>
    <phoneticPr fontId="1"/>
  </si>
  <si>
    <t>お見積概算</t>
    <rPh sb="1" eb="3">
      <t>ミツモ</t>
    </rPh>
    <rPh sb="3" eb="5">
      <t>ガイサン</t>
    </rPh>
    <phoneticPr fontId="1"/>
  </si>
  <si>
    <t>確定金額については追ってご連絡致します。</t>
    <rPh sb="0" eb="4">
      <t>カクテイキンガク</t>
    </rPh>
    <rPh sb="9" eb="10">
      <t>オ</t>
    </rPh>
    <rPh sb="13" eb="15">
      <t>レンラク</t>
    </rPh>
    <rPh sb="15" eb="16">
      <t>イタ</t>
    </rPh>
    <phoneticPr fontId="1"/>
  </si>
  <si>
    <t>※すべて税抜き価格です。</t>
    <rPh sb="4" eb="6">
      <t>ゼイヌキ</t>
    </rPh>
    <rPh sb="7" eb="9">
      <t>カカク</t>
    </rPh>
    <phoneticPr fontId="1"/>
  </si>
  <si>
    <t>株式会社シンシアー</t>
    <rPh sb="0" eb="4">
      <t>カブシキガイシャ</t>
    </rPh>
    <phoneticPr fontId="1"/>
  </si>
  <si>
    <t>本社</t>
    <rPh sb="0" eb="2">
      <t>ホンシャ</t>
    </rPh>
    <phoneticPr fontId="1"/>
  </si>
  <si>
    <t>大阪営業所</t>
    <rPh sb="0" eb="2">
      <t>オオサカ</t>
    </rPh>
    <rPh sb="2" eb="5">
      <t>エイギョウショ</t>
    </rPh>
    <phoneticPr fontId="1"/>
  </si>
  <si>
    <t>FAX：</t>
    <phoneticPr fontId="1"/>
  </si>
  <si>
    <t>042-421-2421</t>
    <phoneticPr fontId="1"/>
  </si>
  <si>
    <t>06-6131-8157</t>
    <phoneticPr fontId="1"/>
  </si>
  <si>
    <t>営業担当者</t>
    <rPh sb="0" eb="4">
      <t>エイギョウタントウ</t>
    </rPh>
    <rPh sb="4" eb="5">
      <t>シャ</t>
    </rPh>
    <phoneticPr fontId="1"/>
  </si>
  <si>
    <t>※上記基準長さより+30mmまで</t>
    <rPh sb="1" eb="3">
      <t>ジョウキ</t>
    </rPh>
    <rPh sb="3" eb="5">
      <t>キジュン</t>
    </rPh>
    <rPh sb="5" eb="6">
      <t>ナガ</t>
    </rPh>
    <phoneticPr fontId="1"/>
  </si>
  <si>
    <t>Dバックル使用</t>
    <rPh sb="5" eb="7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</si>
</sst>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&quot;円&quot;"/>
    <numFmt numFmtId="177" formatCode="000"/>
  </numFmts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22"/>
      <color theme="1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b/>
      <sz val="10"/>
      <color theme="1"/>
      <name val="ＭＳ Ｐ明朝"/>
      <family val="1"/>
      <charset val="128"/>
    </font>
    <font>
      <sz val="6"/>
      <color theme="1"/>
      <name val="ＭＳ Ｐ明朝"/>
      <family val="1"/>
      <charset val="128"/>
    </font>
    <font>
      <sz val="11"/>
      <color theme="1"/>
      <name val="Yu Gothic"/>
      <family val="2"/>
      <scheme val="minor"/>
    </font>
    <font>
      <sz val="8"/>
      <color theme="1"/>
      <name val="ＭＳ Ｐ明朝"/>
      <family val="1"/>
      <charset val="128"/>
    </font>
    <font>
      <b/>
      <sz val="12"/>
      <color theme="1"/>
      <name val="ＭＳ Ｐ明朝"/>
      <family val="1"/>
      <charset val="128"/>
    </font>
    <font>
      <sz val="7"/>
      <color theme="1"/>
      <name val="ＭＳ Ｐ明朝"/>
      <family val="1"/>
      <charset val="128"/>
    </font>
    <font>
      <sz val="16"/>
      <color theme="1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38" fontId="9" fillId="0" borderId="0" applyFont="0" applyFill="0" applyBorder="0" applyAlignment="0" applyProtection="0">
      <alignment vertical="center"/>
    </xf>
  </cellStyleXfs>
  <cellXfs count="104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/>
    <xf numFmtId="0" fontId="4" fillId="0" borderId="0" xfId="0" applyFont="1" applyBorder="1"/>
    <xf numFmtId="0" fontId="4" fillId="0" borderId="7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0" xfId="0" applyFont="1" applyBorder="1" applyAlignment="1">
      <alignment horizontal="right" vertical="center"/>
    </xf>
    <xf numFmtId="0" fontId="3" fillId="0" borderId="0" xfId="0" applyFont="1" applyBorder="1"/>
    <xf numFmtId="0" fontId="3" fillId="2" borderId="0" xfId="0" applyFont="1" applyFill="1" applyBorder="1"/>
    <xf numFmtId="0" fontId="4" fillId="0" borderId="0" xfId="0" applyFont="1" applyBorder="1"/>
    <xf numFmtId="0" fontId="4" fillId="0" borderId="0" xfId="0" applyFont="1" applyBorder="1" applyAlignment="1">
      <alignment horizontal="left" vertical="center"/>
    </xf>
    <xf numFmtId="0" fontId="5" fillId="0" borderId="0" xfId="0" applyFont="1" applyBorder="1"/>
    <xf numFmtId="0" fontId="5" fillId="0" borderId="15" xfId="0" applyFont="1" applyBorder="1" applyAlignment="1">
      <alignment horizontal="right"/>
    </xf>
    <xf numFmtId="0" fontId="5" fillId="0" borderId="14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3" fillId="0" borderId="0" xfId="0" applyFont="1" applyAlignment="1">
      <alignment vertical="top"/>
    </xf>
    <xf numFmtId="0" fontId="6" fillId="0" borderId="0" xfId="0" applyFont="1" applyBorder="1"/>
    <xf numFmtId="0" fontId="6" fillId="0" borderId="0" xfId="0" applyFont="1"/>
    <xf numFmtId="0" fontId="7" fillId="0" borderId="0" xfId="0" applyFont="1" applyBorder="1"/>
    <xf numFmtId="176" fontId="6" fillId="0" borderId="0" xfId="0" applyNumberFormat="1" applyFont="1" applyBorder="1"/>
    <xf numFmtId="0" fontId="3" fillId="0" borderId="0" xfId="0" applyFont="1" applyFill="1" applyBorder="1"/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Border="1" applyAlignment="1">
      <alignment vertical="center"/>
    </xf>
    <xf numFmtId="0" fontId="3" fillId="0" borderId="14" xfId="0" applyFont="1" applyFill="1" applyBorder="1"/>
    <xf numFmtId="0" fontId="3" fillId="0" borderId="15" xfId="0" applyFont="1" applyFill="1" applyBorder="1"/>
    <xf numFmtId="0" fontId="3" fillId="3" borderId="10" xfId="0" applyFont="1" applyFill="1" applyBorder="1" applyAlignment="1">
      <alignment vertical="center"/>
    </xf>
    <xf numFmtId="0" fontId="3" fillId="3" borderId="12" xfId="0" applyFont="1" applyFill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176" fontId="6" fillId="0" borderId="14" xfId="0" applyNumberFormat="1" applyFont="1" applyBorder="1"/>
    <xf numFmtId="176" fontId="6" fillId="0" borderId="0" xfId="0" applyNumberFormat="1" applyFont="1" applyBorder="1"/>
    <xf numFmtId="0" fontId="3" fillId="0" borderId="15" xfId="0" applyFont="1" applyFill="1" applyBorder="1"/>
    <xf numFmtId="0" fontId="8" fillId="0" borderId="0" xfId="0" applyFont="1" applyFill="1" applyBorder="1"/>
    <xf numFmtId="0" fontId="5" fillId="0" borderId="14" xfId="0" applyFont="1" applyBorder="1" applyAlignment="1">
      <alignment horizontal="right"/>
    </xf>
    <xf numFmtId="177" fontId="3" fillId="3" borderId="10" xfId="0" applyNumberFormat="1" applyFont="1" applyFill="1" applyBorder="1"/>
    <xf numFmtId="177" fontId="3" fillId="3" borderId="12" xfId="0" applyNumberFormat="1" applyFont="1" applyFill="1" applyBorder="1"/>
    <xf numFmtId="177" fontId="3" fillId="3" borderId="11" xfId="0" applyNumberFormat="1" applyFont="1" applyFill="1" applyBorder="1"/>
    <xf numFmtId="0" fontId="3" fillId="3" borderId="0" xfId="0" applyFont="1" applyFill="1" applyBorder="1"/>
    <xf numFmtId="0" fontId="3" fillId="0" borderId="0" xfId="0" applyFont="1" applyFill="1" applyBorder="1"/>
    <xf numFmtId="0" fontId="3" fillId="0" borderId="20" xfId="0" applyFont="1" applyBorder="1" applyAlignment="1">
      <alignment vertical="top"/>
    </xf>
    <xf numFmtId="0" fontId="5" fillId="0" borderId="0" xfId="0" applyFont="1" applyBorder="1" applyAlignment="1">
      <alignment horizontal="right"/>
    </xf>
    <xf numFmtId="0" fontId="3" fillId="0" borderId="14" xfId="0" applyFont="1" applyFill="1" applyBorder="1"/>
    <xf numFmtId="0" fontId="3" fillId="0" borderId="0" xfId="0" applyFont="1" applyBorder="1"/>
    <xf numFmtId="0" fontId="4" fillId="3" borderId="10" xfId="0" applyFont="1" applyFill="1" applyBorder="1"/>
    <xf numFmtId="0" fontId="4" fillId="3" borderId="11" xfId="0" applyFont="1" applyFill="1" applyBorder="1"/>
    <xf numFmtId="0" fontId="4" fillId="0" borderId="0" xfId="0" applyFont="1" applyBorder="1"/>
    <xf numFmtId="0" fontId="4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3" borderId="1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3" fillId="3" borderId="10" xfId="0" applyNumberFormat="1" applyFont="1" applyFill="1" applyBorder="1"/>
    <xf numFmtId="0" fontId="3" fillId="3" borderId="12" xfId="0" applyNumberFormat="1" applyFont="1" applyFill="1" applyBorder="1"/>
    <xf numFmtId="0" fontId="3" fillId="3" borderId="11" xfId="0" applyNumberFormat="1" applyFont="1" applyFill="1" applyBorder="1"/>
    <xf numFmtId="0" fontId="4" fillId="0" borderId="0" xfId="0" applyFont="1"/>
    <xf numFmtId="0" fontId="10" fillId="0" borderId="0" xfId="0" applyFont="1"/>
    <xf numFmtId="0" fontId="10" fillId="0" borderId="2" xfId="0" applyFont="1" applyBorder="1" applyAlignment="1">
      <alignment vertical="top"/>
    </xf>
    <xf numFmtId="0" fontId="10" fillId="0" borderId="10" xfId="0" applyFont="1" applyBorder="1" applyAlignment="1">
      <alignment vertical="top"/>
    </xf>
    <xf numFmtId="0" fontId="10" fillId="0" borderId="13" xfId="0" applyFont="1" applyBorder="1" applyAlignment="1">
      <alignment vertical="top"/>
    </xf>
    <xf numFmtId="0" fontId="10" fillId="0" borderId="3" xfId="0" applyFont="1" applyBorder="1" applyAlignment="1">
      <alignment vertical="top"/>
    </xf>
    <xf numFmtId="0" fontId="10" fillId="0" borderId="16" xfId="0" applyFont="1" applyBorder="1" applyAlignment="1">
      <alignment vertical="top"/>
    </xf>
    <xf numFmtId="0" fontId="10" fillId="0" borderId="8" xfId="0" applyFont="1" applyBorder="1" applyAlignment="1">
      <alignment vertical="top"/>
    </xf>
    <xf numFmtId="0" fontId="10" fillId="0" borderId="2" xfId="0" applyFont="1" applyBorder="1"/>
    <xf numFmtId="0" fontId="10" fillId="0" borderId="17" xfId="0" applyFont="1" applyBorder="1" applyAlignment="1">
      <alignment vertical="top"/>
    </xf>
    <xf numFmtId="0" fontId="10" fillId="0" borderId="18" xfId="0" applyFont="1" applyBorder="1" applyAlignment="1">
      <alignment vertical="top"/>
    </xf>
    <xf numFmtId="0" fontId="10" fillId="0" borderId="19" xfId="0" applyFont="1" applyBorder="1" applyAlignment="1">
      <alignment vertical="top"/>
    </xf>
    <xf numFmtId="0" fontId="10" fillId="0" borderId="19" xfId="0" applyFont="1" applyBorder="1" applyAlignment="1">
      <alignment vertical="top"/>
    </xf>
    <xf numFmtId="0" fontId="3" fillId="3" borderId="10" xfId="0" applyFont="1" applyFill="1" applyBorder="1"/>
    <xf numFmtId="0" fontId="3" fillId="3" borderId="12" xfId="0" applyFont="1" applyFill="1" applyBorder="1"/>
    <xf numFmtId="0" fontId="3" fillId="3" borderId="11" xfId="0" applyFont="1" applyFill="1" applyBorder="1"/>
    <xf numFmtId="38" fontId="3" fillId="0" borderId="16" xfId="1" applyFont="1" applyBorder="1" applyAlignment="1"/>
    <xf numFmtId="38" fontId="3" fillId="0" borderId="2" xfId="1" applyFont="1" applyBorder="1" applyAlignme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0" fontId="11" fillId="0" borderId="0" xfId="0" applyFont="1" applyBorder="1"/>
    <xf numFmtId="0" fontId="12" fillId="0" borderId="0" xfId="0" applyFont="1" applyBorder="1" applyAlignment="1">
      <alignment horizontal="right"/>
    </xf>
    <xf numFmtId="0" fontId="3" fillId="0" borderId="21" xfId="0" applyFont="1" applyBorder="1"/>
    <xf numFmtId="0" fontId="4" fillId="0" borderId="0" xfId="0" applyFont="1" applyAlignment="1">
      <alignment horizontal="distributed"/>
    </xf>
    <xf numFmtId="0" fontId="4" fillId="3" borderId="12" xfId="0" applyFont="1" applyFill="1" applyBorder="1"/>
    <xf numFmtId="0" fontId="3" fillId="0" borderId="2" xfId="0" applyFont="1" applyBorder="1"/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/>
    <xf numFmtId="0" fontId="10" fillId="0" borderId="0" xfId="0" applyFont="1" applyBorder="1" applyAlignment="1">
      <alignment vertical="center"/>
    </xf>
    <xf numFmtId="0" fontId="13" fillId="0" borderId="6" xfId="0" applyFont="1" applyBorder="1"/>
    <xf numFmtId="0" fontId="3" fillId="0" borderId="14" xfId="0" applyFont="1" applyBorder="1"/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jpg"/><Relationship Id="rId2" Type="http://schemas.openxmlformats.org/officeDocument/2006/relationships/image" Target="../media/image33.jpg"/><Relationship Id="rId1" Type="http://schemas.openxmlformats.org/officeDocument/2006/relationships/image" Target="../media/image32.jpg"/><Relationship Id="rId6" Type="http://schemas.openxmlformats.org/officeDocument/2006/relationships/image" Target="../media/image37.jpg"/><Relationship Id="rId5" Type="http://schemas.openxmlformats.org/officeDocument/2006/relationships/image" Target="../media/image36.jpg"/><Relationship Id="rId4" Type="http://schemas.openxmlformats.org/officeDocument/2006/relationships/image" Target="../media/image35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8.emf"/><Relationship Id="rId18" Type="http://schemas.openxmlformats.org/officeDocument/2006/relationships/image" Target="../media/image5.emf"/><Relationship Id="rId26" Type="http://schemas.openxmlformats.org/officeDocument/2006/relationships/image" Target="../media/image12.emf"/><Relationship Id="rId3" Type="http://schemas.openxmlformats.org/officeDocument/2006/relationships/image" Target="../media/image21.emf"/><Relationship Id="rId21" Type="http://schemas.openxmlformats.org/officeDocument/2006/relationships/image" Target="../media/image24.emf"/><Relationship Id="rId7" Type="http://schemas.openxmlformats.org/officeDocument/2006/relationships/image" Target="../media/image20.emf"/><Relationship Id="rId12" Type="http://schemas.openxmlformats.org/officeDocument/2006/relationships/image" Target="../media/image26.emf"/><Relationship Id="rId17" Type="http://schemas.openxmlformats.org/officeDocument/2006/relationships/image" Target="../media/image16.emf"/><Relationship Id="rId25" Type="http://schemas.openxmlformats.org/officeDocument/2006/relationships/image" Target="../media/image7.emf"/><Relationship Id="rId2" Type="http://schemas.openxmlformats.org/officeDocument/2006/relationships/image" Target="../media/image9.emf"/><Relationship Id="rId16" Type="http://schemas.openxmlformats.org/officeDocument/2006/relationships/image" Target="../media/image15.emf"/><Relationship Id="rId20" Type="http://schemas.openxmlformats.org/officeDocument/2006/relationships/image" Target="../media/image3.emf"/><Relationship Id="rId29" Type="http://schemas.openxmlformats.org/officeDocument/2006/relationships/image" Target="../media/image30.emf"/><Relationship Id="rId1" Type="http://schemas.openxmlformats.org/officeDocument/2006/relationships/image" Target="../media/image8.emf"/><Relationship Id="rId6" Type="http://schemas.openxmlformats.org/officeDocument/2006/relationships/image" Target="../media/image19.emf"/><Relationship Id="rId11" Type="http://schemas.openxmlformats.org/officeDocument/2006/relationships/image" Target="../media/image11.emf"/><Relationship Id="rId24" Type="http://schemas.openxmlformats.org/officeDocument/2006/relationships/image" Target="../media/image1.emf"/><Relationship Id="rId5" Type="http://schemas.openxmlformats.org/officeDocument/2006/relationships/image" Target="../media/image18.emf"/><Relationship Id="rId15" Type="http://schemas.openxmlformats.org/officeDocument/2006/relationships/image" Target="../media/image14.emf"/><Relationship Id="rId23" Type="http://schemas.openxmlformats.org/officeDocument/2006/relationships/image" Target="../media/image2.emf"/><Relationship Id="rId28" Type="http://schemas.openxmlformats.org/officeDocument/2006/relationships/image" Target="../media/image29.emf"/><Relationship Id="rId10" Type="http://schemas.openxmlformats.org/officeDocument/2006/relationships/image" Target="../media/image10.emf"/><Relationship Id="rId19" Type="http://schemas.openxmlformats.org/officeDocument/2006/relationships/image" Target="../media/image4.emf"/><Relationship Id="rId31" Type="http://schemas.openxmlformats.org/officeDocument/2006/relationships/image" Target="../media/image6.emf"/><Relationship Id="rId4" Type="http://schemas.openxmlformats.org/officeDocument/2006/relationships/image" Target="../media/image17.emf"/><Relationship Id="rId9" Type="http://schemas.openxmlformats.org/officeDocument/2006/relationships/image" Target="../media/image23.emf"/><Relationship Id="rId14" Type="http://schemas.openxmlformats.org/officeDocument/2006/relationships/image" Target="../media/image27.emf"/><Relationship Id="rId22" Type="http://schemas.openxmlformats.org/officeDocument/2006/relationships/image" Target="../media/image25.emf"/><Relationship Id="rId27" Type="http://schemas.openxmlformats.org/officeDocument/2006/relationships/image" Target="../media/image13.emf"/><Relationship Id="rId30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81451</xdr:colOff>
          <xdr:row>21</xdr:row>
          <xdr:rowOff>28343</xdr:rowOff>
        </xdr:from>
        <xdr:to>
          <xdr:col>37</xdr:col>
          <xdr:colOff>13515</xdr:colOff>
          <xdr:row>21</xdr:row>
          <xdr:rowOff>232031</xdr:rowOff>
        </xdr:to>
        <xdr:sp macro="" textlink="">
          <xdr:nvSpPr>
            <xdr:cNvPr id="1042" name="OptionButton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CECD89B8-4B6E-448C-BF33-B3CFDABC7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13</xdr:row>
          <xdr:rowOff>19050</xdr:rowOff>
        </xdr:from>
        <xdr:to>
          <xdr:col>27</xdr:col>
          <xdr:colOff>161925</xdr:colOff>
          <xdr:row>13</xdr:row>
          <xdr:rowOff>227670</xdr:rowOff>
        </xdr:to>
        <xdr:sp macro="" textlink="">
          <xdr:nvSpPr>
            <xdr:cNvPr id="1046" name="Option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38820FA9-8925-4CB2-8580-E5DE59BA5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14</xdr:row>
          <xdr:rowOff>19050</xdr:rowOff>
        </xdr:from>
        <xdr:to>
          <xdr:col>27</xdr:col>
          <xdr:colOff>161925</xdr:colOff>
          <xdr:row>15</xdr:row>
          <xdr:rowOff>0</xdr:rowOff>
        </xdr:to>
        <xdr:sp macro="" textlink="">
          <xdr:nvSpPr>
            <xdr:cNvPr id="1047" name="Option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21B16DE2-EEC2-4CF4-98CF-D48616026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15</xdr:row>
          <xdr:rowOff>19050</xdr:rowOff>
        </xdr:from>
        <xdr:to>
          <xdr:col>27</xdr:col>
          <xdr:colOff>161925</xdr:colOff>
          <xdr:row>16</xdr:row>
          <xdr:rowOff>0</xdr:rowOff>
        </xdr:to>
        <xdr:sp macro="" textlink="">
          <xdr:nvSpPr>
            <xdr:cNvPr id="1048" name="Option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1A312ACF-A99D-4F9D-A721-36F266011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28807</xdr:colOff>
          <xdr:row>21</xdr:row>
          <xdr:rowOff>26020</xdr:rowOff>
        </xdr:from>
        <xdr:to>
          <xdr:col>11</xdr:col>
          <xdr:colOff>124057</xdr:colOff>
          <xdr:row>21</xdr:row>
          <xdr:rowOff>224884</xdr:rowOff>
        </xdr:to>
        <xdr:sp macro="" textlink="">
          <xdr:nvSpPr>
            <xdr:cNvPr id="1049" name="OptionButton6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5F89C1E7-4B94-4FE4-884E-9A7B37DB2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15100</xdr:colOff>
          <xdr:row>21</xdr:row>
          <xdr:rowOff>37171</xdr:rowOff>
        </xdr:from>
        <xdr:to>
          <xdr:col>17</xdr:col>
          <xdr:colOff>119875</xdr:colOff>
          <xdr:row>22</xdr:row>
          <xdr:rowOff>232</xdr:rowOff>
        </xdr:to>
        <xdr:sp macro="" textlink="">
          <xdr:nvSpPr>
            <xdr:cNvPr id="1051" name="OptionButton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C0B4A3DE-A554-4FF0-B7A0-6134BCEDC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0</xdr:colOff>
      <xdr:row>22</xdr:row>
      <xdr:rowOff>0</xdr:rowOff>
    </xdr:from>
    <xdr:to>
      <xdr:col>10</xdr:col>
      <xdr:colOff>86389</xdr:colOff>
      <xdr:row>25</xdr:row>
      <xdr:rowOff>185842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927B128C-E8A6-41EA-94FB-CD9DADFEC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73" y="4065549"/>
          <a:ext cx="774048" cy="779324"/>
        </a:xfrm>
        <a:prstGeom prst="rect">
          <a:avLst/>
        </a:prstGeom>
        <a:ln w="3175">
          <a:noFill/>
        </a:ln>
      </xdr:spPr>
    </xdr:pic>
    <xdr:clientData/>
  </xdr:twoCellAnchor>
  <xdr:twoCellAnchor editAs="oneCell">
    <xdr:from>
      <xdr:col>12</xdr:col>
      <xdr:colOff>0</xdr:colOff>
      <xdr:row>22</xdr:row>
      <xdr:rowOff>0</xdr:rowOff>
    </xdr:from>
    <xdr:to>
      <xdr:col>16</xdr:col>
      <xdr:colOff>96413</xdr:colOff>
      <xdr:row>26</xdr:row>
      <xdr:rowOff>15855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7A634379-21EC-410A-883F-C2B2E8BEC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061" y="4065549"/>
          <a:ext cx="784072" cy="807164"/>
        </a:xfrm>
        <a:prstGeom prst="rect">
          <a:avLst/>
        </a:prstGeom>
        <a:ln w="317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21</xdr:row>
          <xdr:rowOff>19050</xdr:rowOff>
        </xdr:from>
        <xdr:to>
          <xdr:col>24</xdr:col>
          <xdr:colOff>161925</xdr:colOff>
          <xdr:row>21</xdr:row>
          <xdr:rowOff>219075</xdr:rowOff>
        </xdr:to>
        <xdr:sp macro="" textlink="">
          <xdr:nvSpPr>
            <xdr:cNvPr id="1054" name="OptionButton4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2B03B3DF-A6E3-4397-9677-A78CA2514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38797</xdr:colOff>
          <xdr:row>21</xdr:row>
          <xdr:rowOff>19050</xdr:rowOff>
        </xdr:from>
        <xdr:to>
          <xdr:col>30</xdr:col>
          <xdr:colOff>134047</xdr:colOff>
          <xdr:row>21</xdr:row>
          <xdr:rowOff>219075</xdr:rowOff>
        </xdr:to>
        <xdr:sp macro="" textlink="">
          <xdr:nvSpPr>
            <xdr:cNvPr id="1055" name="OptionButton5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53381EB1-DC6A-4CF3-AABD-420CE043D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0</xdr:colOff>
      <xdr:row>22</xdr:row>
      <xdr:rowOff>0</xdr:rowOff>
    </xdr:from>
    <xdr:to>
      <xdr:col>24</xdr:col>
      <xdr:colOff>295</xdr:colOff>
      <xdr:row>25</xdr:row>
      <xdr:rowOff>51284</xdr:rowOff>
    </xdr:to>
    <xdr:pic>
      <xdr:nvPicPr>
        <xdr:cNvPr id="45" name="図 44">
          <a:extLst>
            <a:ext uri="{FF2B5EF4-FFF2-40B4-BE49-F238E27FC236}">
              <a16:creationId xmlns:a16="http://schemas.microsoft.com/office/drawing/2014/main" id="{E85D684A-6A95-4F93-A3F3-B45DD451E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293" y="4065549"/>
          <a:ext cx="856472" cy="644766"/>
        </a:xfrm>
        <a:prstGeom prst="rect">
          <a:avLst/>
        </a:prstGeom>
        <a:ln w="3175">
          <a:noFill/>
        </a:ln>
      </xdr:spPr>
    </xdr:pic>
    <xdr:clientData/>
  </xdr:twoCellAnchor>
  <xdr:twoCellAnchor editAs="oneCell">
    <xdr:from>
      <xdr:col>24</xdr:col>
      <xdr:colOff>171914</xdr:colOff>
      <xdr:row>22</xdr:row>
      <xdr:rowOff>0</xdr:rowOff>
    </xdr:from>
    <xdr:to>
      <xdr:col>30</xdr:col>
      <xdr:colOff>1249</xdr:colOff>
      <xdr:row>25</xdr:row>
      <xdr:rowOff>56108</xdr:rowOff>
    </xdr:to>
    <xdr:pic>
      <xdr:nvPicPr>
        <xdr:cNvPr id="46" name="図 45">
          <a:extLst>
            <a:ext uri="{FF2B5EF4-FFF2-40B4-BE49-F238E27FC236}">
              <a16:creationId xmlns:a16="http://schemas.microsoft.com/office/drawing/2014/main" id="{B7B7CDDB-A9EE-4015-B5A4-2DA91678F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9780" y="4065549"/>
          <a:ext cx="857427" cy="649590"/>
        </a:xfrm>
        <a:prstGeom prst="rect">
          <a:avLst/>
        </a:prstGeom>
        <a:ln w="3175">
          <a:noFill/>
        </a:ln>
      </xdr:spPr>
    </xdr:pic>
    <xdr:clientData/>
  </xdr:twoCellAnchor>
  <xdr:twoCellAnchor editAs="oneCell">
    <xdr:from>
      <xdr:col>30</xdr:col>
      <xdr:colOff>171914</xdr:colOff>
      <xdr:row>22</xdr:row>
      <xdr:rowOff>0</xdr:rowOff>
    </xdr:from>
    <xdr:to>
      <xdr:col>36</xdr:col>
      <xdr:colOff>4653</xdr:colOff>
      <xdr:row>25</xdr:row>
      <xdr:rowOff>56108</xdr:rowOff>
    </xdr:to>
    <xdr:pic>
      <xdr:nvPicPr>
        <xdr:cNvPr id="47" name="図 46">
          <a:extLst>
            <a:ext uri="{FF2B5EF4-FFF2-40B4-BE49-F238E27FC236}">
              <a16:creationId xmlns:a16="http://schemas.microsoft.com/office/drawing/2014/main" id="{35E5100E-6BF1-4750-AD9B-9EFB0A7AF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1268" y="4065549"/>
          <a:ext cx="864226" cy="649590"/>
        </a:xfrm>
        <a:prstGeom prst="rect">
          <a:avLst/>
        </a:prstGeom>
        <a:ln w="317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37</xdr:row>
          <xdr:rowOff>28575</xdr:rowOff>
        </xdr:from>
        <xdr:to>
          <xdr:col>11</xdr:col>
          <xdr:colOff>123825</xdr:colOff>
          <xdr:row>37</xdr:row>
          <xdr:rowOff>228600</xdr:rowOff>
        </xdr:to>
        <xdr:sp macro="" textlink="">
          <xdr:nvSpPr>
            <xdr:cNvPr id="1066" name="OptionButton9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4666036F-715F-42BA-B754-AE7403123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37</xdr:row>
          <xdr:rowOff>28575</xdr:rowOff>
        </xdr:from>
        <xdr:to>
          <xdr:col>17</xdr:col>
          <xdr:colOff>123825</xdr:colOff>
          <xdr:row>37</xdr:row>
          <xdr:rowOff>228600</xdr:rowOff>
        </xdr:to>
        <xdr:sp macro="" textlink="">
          <xdr:nvSpPr>
            <xdr:cNvPr id="1072" name="OptionButton10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AF6E6686-8846-4AFA-99A7-5948314C8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37</xdr:row>
          <xdr:rowOff>28575</xdr:rowOff>
        </xdr:from>
        <xdr:to>
          <xdr:col>28</xdr:col>
          <xdr:colOff>161193</xdr:colOff>
          <xdr:row>37</xdr:row>
          <xdr:rowOff>228600</xdr:rowOff>
        </xdr:to>
        <xdr:sp macro="" textlink="">
          <xdr:nvSpPr>
            <xdr:cNvPr id="1073" name="OptionButton11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CB9E8BEE-F6DB-476A-A414-9DCF8F107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38</xdr:row>
          <xdr:rowOff>28575</xdr:rowOff>
        </xdr:from>
        <xdr:to>
          <xdr:col>11</xdr:col>
          <xdr:colOff>123825</xdr:colOff>
          <xdr:row>39</xdr:row>
          <xdr:rowOff>205153</xdr:rowOff>
        </xdr:to>
        <xdr:sp macro="" textlink="">
          <xdr:nvSpPr>
            <xdr:cNvPr id="1074" name="OptionButton12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B15F2DDB-C264-4BA3-84E3-078AFF51F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38</xdr:row>
          <xdr:rowOff>28575</xdr:rowOff>
        </xdr:from>
        <xdr:to>
          <xdr:col>17</xdr:col>
          <xdr:colOff>123825</xdr:colOff>
          <xdr:row>39</xdr:row>
          <xdr:rowOff>205153</xdr:rowOff>
        </xdr:to>
        <xdr:sp macro="" textlink="">
          <xdr:nvSpPr>
            <xdr:cNvPr id="1075" name="OptionButton13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54DAD3C2-C719-4D6A-8F22-129E85911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38</xdr:row>
          <xdr:rowOff>28575</xdr:rowOff>
        </xdr:from>
        <xdr:to>
          <xdr:col>23</xdr:col>
          <xdr:colOff>123825</xdr:colOff>
          <xdr:row>39</xdr:row>
          <xdr:rowOff>205153</xdr:rowOff>
        </xdr:to>
        <xdr:sp macro="" textlink="">
          <xdr:nvSpPr>
            <xdr:cNvPr id="1076" name="OptionButton14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D2C8B33F-EBB4-4722-86D2-0DB5DC4D3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38</xdr:row>
          <xdr:rowOff>28575</xdr:rowOff>
        </xdr:from>
        <xdr:to>
          <xdr:col>29</xdr:col>
          <xdr:colOff>123825</xdr:colOff>
          <xdr:row>39</xdr:row>
          <xdr:rowOff>205153</xdr:rowOff>
        </xdr:to>
        <xdr:sp macro="" textlink="">
          <xdr:nvSpPr>
            <xdr:cNvPr id="1077" name="OptionButton1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3B7CC8D1-4C5B-4236-8214-3E53D5A73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40</xdr:row>
          <xdr:rowOff>28575</xdr:rowOff>
        </xdr:from>
        <xdr:to>
          <xdr:col>11</xdr:col>
          <xdr:colOff>123825</xdr:colOff>
          <xdr:row>41</xdr:row>
          <xdr:rowOff>205153</xdr:rowOff>
        </xdr:to>
        <xdr:sp macro="" textlink="">
          <xdr:nvSpPr>
            <xdr:cNvPr id="1081" name="OptionButton16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530E9096-F4B9-4C46-A989-11F5F5705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42</xdr:row>
          <xdr:rowOff>28574</xdr:rowOff>
        </xdr:from>
        <xdr:to>
          <xdr:col>13</xdr:col>
          <xdr:colOff>146538</xdr:colOff>
          <xdr:row>43</xdr:row>
          <xdr:rowOff>205152</xdr:rowOff>
        </xdr:to>
        <xdr:sp macro="" textlink="">
          <xdr:nvSpPr>
            <xdr:cNvPr id="1086" name="OptionButton17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A19D0856-F735-4C3F-88C2-AE9BE5808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42</xdr:row>
          <xdr:rowOff>28574</xdr:rowOff>
        </xdr:from>
        <xdr:to>
          <xdr:col>21</xdr:col>
          <xdr:colOff>146538</xdr:colOff>
          <xdr:row>43</xdr:row>
          <xdr:rowOff>205152</xdr:rowOff>
        </xdr:to>
        <xdr:sp macro="" textlink="">
          <xdr:nvSpPr>
            <xdr:cNvPr id="1091" name="OptionButton19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D54FE823-CACB-4DCC-8D40-020C41843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85724</xdr:colOff>
          <xdr:row>45</xdr:row>
          <xdr:rowOff>9757</xdr:rowOff>
        </xdr:from>
        <xdr:to>
          <xdr:col>26</xdr:col>
          <xdr:colOff>155895</xdr:colOff>
          <xdr:row>45</xdr:row>
          <xdr:rowOff>189757</xdr:rowOff>
        </xdr:to>
        <xdr:sp macro="" textlink="">
          <xdr:nvSpPr>
            <xdr:cNvPr id="1096" name="OptionButton18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A2F3A8D-88E2-408E-9DED-D26072F00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15198</xdr:colOff>
          <xdr:row>45</xdr:row>
          <xdr:rowOff>11818</xdr:rowOff>
        </xdr:from>
        <xdr:to>
          <xdr:col>29</xdr:col>
          <xdr:colOff>85368</xdr:colOff>
          <xdr:row>45</xdr:row>
          <xdr:rowOff>191818</xdr:rowOff>
        </xdr:to>
        <xdr:sp macro="" textlink="">
          <xdr:nvSpPr>
            <xdr:cNvPr id="1097" name="OptionButton20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8DBE80CA-BD6F-48ED-90E3-805D5A7C9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28807</xdr:colOff>
          <xdr:row>30</xdr:row>
          <xdr:rowOff>26020</xdr:rowOff>
        </xdr:from>
        <xdr:to>
          <xdr:col>10</xdr:col>
          <xdr:colOff>0</xdr:colOff>
          <xdr:row>30</xdr:row>
          <xdr:rowOff>215359</xdr:rowOff>
        </xdr:to>
        <xdr:sp macro="" textlink="">
          <xdr:nvSpPr>
            <xdr:cNvPr id="1104" name="OptionButton22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73D3D4C6-B4C6-45D1-A48E-955F54CBA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28807</xdr:colOff>
          <xdr:row>31</xdr:row>
          <xdr:rowOff>26020</xdr:rowOff>
        </xdr:from>
        <xdr:to>
          <xdr:col>10</xdr:col>
          <xdr:colOff>0</xdr:colOff>
          <xdr:row>31</xdr:row>
          <xdr:rowOff>215359</xdr:rowOff>
        </xdr:to>
        <xdr:sp macro="" textlink="">
          <xdr:nvSpPr>
            <xdr:cNvPr id="1109" name="OptionButton21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BC1C0734-0CEF-4BCB-BF69-016D13375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32</xdr:row>
          <xdr:rowOff>28575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1110" name="OptionButton23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B0432A89-9B9B-4883-A593-049005D11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28576</xdr:colOff>
          <xdr:row>30</xdr:row>
          <xdr:rowOff>28575</xdr:rowOff>
        </xdr:from>
        <xdr:to>
          <xdr:col>23</xdr:col>
          <xdr:colOff>168728</xdr:colOff>
          <xdr:row>30</xdr:row>
          <xdr:rowOff>217714</xdr:rowOff>
        </xdr:to>
        <xdr:sp macro="" textlink="">
          <xdr:nvSpPr>
            <xdr:cNvPr id="1111" name="OptionButton24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ED069309-EF4D-4374-86FF-E1408233A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28576</xdr:colOff>
          <xdr:row>30</xdr:row>
          <xdr:rowOff>28575</xdr:rowOff>
        </xdr:from>
        <xdr:to>
          <xdr:col>28</xdr:col>
          <xdr:colOff>168728</xdr:colOff>
          <xdr:row>30</xdr:row>
          <xdr:rowOff>217714</xdr:rowOff>
        </xdr:to>
        <xdr:sp macro="" textlink="">
          <xdr:nvSpPr>
            <xdr:cNvPr id="1120" name="OptionButton2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C4229D69-3985-4212-8CC9-406487878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28576</xdr:colOff>
          <xdr:row>30</xdr:row>
          <xdr:rowOff>28575</xdr:rowOff>
        </xdr:from>
        <xdr:to>
          <xdr:col>33</xdr:col>
          <xdr:colOff>168728</xdr:colOff>
          <xdr:row>30</xdr:row>
          <xdr:rowOff>217714</xdr:rowOff>
        </xdr:to>
        <xdr:sp macro="" textlink="">
          <xdr:nvSpPr>
            <xdr:cNvPr id="1121" name="OptionButton2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BF574B4-E470-4DC0-A5F0-E37EA4F28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28576</xdr:colOff>
          <xdr:row>30</xdr:row>
          <xdr:rowOff>28575</xdr:rowOff>
        </xdr:from>
        <xdr:to>
          <xdr:col>38</xdr:col>
          <xdr:colOff>168728</xdr:colOff>
          <xdr:row>30</xdr:row>
          <xdr:rowOff>217714</xdr:rowOff>
        </xdr:to>
        <xdr:sp macro="" textlink="">
          <xdr:nvSpPr>
            <xdr:cNvPr id="1122" name="OptionButton27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10787A9E-B16D-4831-BFDF-8246A757E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50</xdr:row>
          <xdr:rowOff>28575</xdr:rowOff>
        </xdr:from>
        <xdr:to>
          <xdr:col>11</xdr:col>
          <xdr:colOff>123825</xdr:colOff>
          <xdr:row>51</xdr:row>
          <xdr:rowOff>2299</xdr:rowOff>
        </xdr:to>
        <xdr:sp macro="" textlink="">
          <xdr:nvSpPr>
            <xdr:cNvPr id="1123" name="OptionButton28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77D7F180-D9A1-4E74-AB9D-60F9B118F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50</xdr:row>
          <xdr:rowOff>28575</xdr:rowOff>
        </xdr:from>
        <xdr:to>
          <xdr:col>17</xdr:col>
          <xdr:colOff>123825</xdr:colOff>
          <xdr:row>51</xdr:row>
          <xdr:rowOff>2299</xdr:rowOff>
        </xdr:to>
        <xdr:sp macro="" textlink="">
          <xdr:nvSpPr>
            <xdr:cNvPr id="1124" name="OptionButton29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49A6012D-7459-41D8-9FFB-D1E230DDB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51</xdr:row>
          <xdr:rowOff>28575</xdr:rowOff>
        </xdr:from>
        <xdr:to>
          <xdr:col>11</xdr:col>
          <xdr:colOff>123825</xdr:colOff>
          <xdr:row>52</xdr:row>
          <xdr:rowOff>0</xdr:rowOff>
        </xdr:to>
        <xdr:sp macro="" textlink="">
          <xdr:nvSpPr>
            <xdr:cNvPr id="1128" name="OptionButton30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4A30B6B6-F152-48A8-AF2C-6DE119EBA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10</xdr:row>
      <xdr:rowOff>0</xdr:rowOff>
    </xdr:from>
    <xdr:to>
      <xdr:col>18</xdr:col>
      <xdr:colOff>51289</xdr:colOff>
      <xdr:row>16</xdr:row>
      <xdr:rowOff>54673</xdr:rowOff>
    </xdr:to>
    <xdr:pic>
      <xdr:nvPicPr>
        <xdr:cNvPr id="41" name="図 40">
          <a:extLst>
            <a:ext uri="{FF2B5EF4-FFF2-40B4-BE49-F238E27FC236}">
              <a16:creationId xmlns:a16="http://schemas.microsoft.com/office/drawing/2014/main" id="{4B6AFB3F-62F6-4A0D-AADD-C5970CA2A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077" y="1677865"/>
          <a:ext cx="2410558" cy="1212327"/>
        </a:xfrm>
        <a:prstGeom prst="rect">
          <a:avLst/>
        </a:prstGeom>
        <a:ln w="317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75422</xdr:colOff>
          <xdr:row>21</xdr:row>
          <xdr:rowOff>55703</xdr:rowOff>
        </xdr:from>
        <xdr:to>
          <xdr:col>40</xdr:col>
          <xdr:colOff>167023</xdr:colOff>
          <xdr:row>21</xdr:row>
          <xdr:rowOff>227487</xdr:rowOff>
        </xdr:to>
        <xdr:sp macro="" textlink="">
          <xdr:nvSpPr>
            <xdr:cNvPr id="1131" name="OptionButton31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33CD1CD2-27A6-4877-9DB2-8124FCD1E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21889</xdr:colOff>
          <xdr:row>21</xdr:row>
          <xdr:rowOff>65907</xdr:rowOff>
        </xdr:from>
        <xdr:to>
          <xdr:col>43</xdr:col>
          <xdr:colOff>113489</xdr:colOff>
          <xdr:row>21</xdr:row>
          <xdr:rowOff>236344</xdr:rowOff>
        </xdr:to>
        <xdr:sp macro="" textlink="">
          <xdr:nvSpPr>
            <xdr:cNvPr id="1132" name="OptionButton33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B9F46B8-0E14-42D6-A2B5-2B96677AB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61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O63"/>
  <sheetViews>
    <sheetView tabSelected="1" view="pageBreakPreview" zoomScale="115" zoomScaleNormal="100" zoomScaleSheetLayoutView="115" workbookViewId="0">
      <selection activeCell="AU5" sqref="AU5"/>
    </sheetView>
  </sheetViews>
  <sheetFormatPr defaultRowHeight="13.5"/>
  <cols>
    <col min="1" max="46" width="2.25" style="1" customWidth="1"/>
    <col min="47" max="47" width="5" style="1" customWidth="1"/>
    <col min="48" max="48" width="7" style="1" customWidth="1"/>
    <col min="49" max="49" width="6" style="1" customWidth="1"/>
    <col min="50" max="50" width="7.375" style="1" customWidth="1"/>
    <col min="51" max="52" width="6" style="1" customWidth="1"/>
    <col min="53" max="53" width="5" style="1" customWidth="1"/>
    <col min="54" max="54" width="8.125" style="1" customWidth="1"/>
    <col min="55" max="55" width="5" style="1" customWidth="1"/>
    <col min="56" max="56" width="7.625" style="1" customWidth="1"/>
    <col min="57" max="57" width="5" style="1" customWidth="1"/>
    <col min="58" max="61" width="5.25" style="72" customWidth="1"/>
    <col min="62" max="62" width="5.875" style="72" customWidth="1"/>
    <col min="63" max="64" width="9" style="1"/>
    <col min="65" max="65" width="12.125" style="1" customWidth="1"/>
    <col min="66" max="67" width="11.375" style="1" customWidth="1"/>
    <col min="68" max="16384" width="9" style="1"/>
  </cols>
  <sheetData>
    <row r="2" spans="2:64">
      <c r="B2" s="1" t="s">
        <v>0</v>
      </c>
      <c r="I2" s="6"/>
      <c r="K2" s="97"/>
      <c r="L2" s="97"/>
      <c r="M2" s="97"/>
      <c r="N2" s="97"/>
      <c r="O2" s="97"/>
      <c r="P2" s="97"/>
      <c r="Q2" s="6"/>
      <c r="W2" s="6"/>
      <c r="X2" s="6"/>
      <c r="Y2" s="19"/>
      <c r="Z2" s="19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</row>
    <row r="3" spans="2:64">
      <c r="H3" s="18"/>
    </row>
    <row r="4" spans="2:64">
      <c r="B4" s="1" t="s">
        <v>1</v>
      </c>
      <c r="H4" s="18"/>
      <c r="I4" s="6"/>
      <c r="J4" s="6"/>
      <c r="K4" s="97"/>
      <c r="L4" s="97"/>
      <c r="M4" s="97"/>
      <c r="N4" s="97"/>
      <c r="O4" s="97"/>
      <c r="P4" s="97"/>
      <c r="S4" s="1" t="s">
        <v>2</v>
      </c>
      <c r="V4" s="61"/>
      <c r="W4" s="63"/>
      <c r="X4" s="63"/>
      <c r="Y4" s="63"/>
      <c r="Z4" s="63"/>
      <c r="AA4" s="63"/>
      <c r="AB4" s="62"/>
      <c r="AE4" s="1" t="s">
        <v>3</v>
      </c>
      <c r="AI4" s="61"/>
      <c r="AJ4" s="63"/>
      <c r="AK4" s="63"/>
      <c r="AL4" s="63"/>
      <c r="AM4" s="63"/>
      <c r="AN4" s="63"/>
      <c r="AO4" s="63"/>
      <c r="AP4" s="62"/>
      <c r="AS4" s="6"/>
    </row>
    <row r="5" spans="2:64">
      <c r="H5" s="18"/>
    </row>
    <row r="6" spans="2:64" ht="25.5" customHeight="1">
      <c r="B6" s="59" t="s">
        <v>4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10"/>
    </row>
    <row r="7" spans="2:64">
      <c r="B7" s="60" t="s">
        <v>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11"/>
    </row>
    <row r="8" spans="2:64" ht="6.75" customHeight="1"/>
    <row r="9" spans="2:64" ht="6.75" customHeight="1"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15"/>
      <c r="AO9" s="15"/>
      <c r="AP9" s="15"/>
      <c r="AQ9" s="15"/>
      <c r="AR9" s="15"/>
      <c r="AS9" s="16"/>
    </row>
    <row r="10" spans="2:64" ht="18.75">
      <c r="B10" s="102" t="s">
        <v>6</v>
      </c>
      <c r="C10" s="18"/>
      <c r="D10" s="18"/>
      <c r="E10" s="18"/>
      <c r="F10" s="18"/>
      <c r="G10" s="18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 t="s">
        <v>16</v>
      </c>
      <c r="AA10" s="29" t="s">
        <v>17</v>
      </c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O10" s="13"/>
      <c r="AP10" s="13"/>
      <c r="AQ10" s="13"/>
      <c r="AR10" s="13"/>
      <c r="AS10" s="14"/>
      <c r="BJ10" s="79" t="s">
        <v>31</v>
      </c>
      <c r="BK10" s="12" t="s">
        <v>7</v>
      </c>
    </row>
    <row r="11" spans="2:64" ht="15.75" customHeight="1">
      <c r="B11" s="5"/>
      <c r="C11" s="18"/>
      <c r="D11" s="18"/>
      <c r="E11" s="18"/>
      <c r="F11" s="18"/>
      <c r="G11" s="18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56" t="s">
        <v>7</v>
      </c>
      <c r="AB11" s="56"/>
      <c r="AC11" s="57"/>
      <c r="AD11" s="53">
        <v>20</v>
      </c>
      <c r="AE11" s="54"/>
      <c r="AF11" s="55" t="s">
        <v>8</v>
      </c>
      <c r="AG11" s="55"/>
      <c r="AH11" s="56" t="s">
        <v>14</v>
      </c>
      <c r="AI11" s="56"/>
      <c r="AJ11" s="57"/>
      <c r="AK11" s="53"/>
      <c r="AL11" s="54"/>
      <c r="AM11" s="55" t="s">
        <v>8</v>
      </c>
      <c r="AN11" s="55"/>
      <c r="AQ11" s="6"/>
      <c r="AR11" s="6"/>
      <c r="AS11" s="7"/>
      <c r="BJ11" s="79">
        <f>AC11</f>
        <v>0</v>
      </c>
      <c r="BK11" s="12">
        <f>AD11</f>
        <v>20</v>
      </c>
      <c r="BL11" s="1" t="s">
        <v>8</v>
      </c>
    </row>
    <row r="12" spans="2:64" ht="12" customHeight="1">
      <c r="B12" s="5"/>
      <c r="C12" s="18"/>
      <c r="D12" s="18"/>
      <c r="E12" s="18"/>
      <c r="F12" s="18"/>
      <c r="G12" s="18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Q12" s="13"/>
      <c r="AR12" s="13"/>
      <c r="AS12" s="14"/>
      <c r="BJ12" s="72">
        <v>1</v>
      </c>
      <c r="BK12" s="1">
        <f>INT(BK11/21)+1</f>
        <v>1</v>
      </c>
    </row>
    <row r="13" spans="2:64">
      <c r="B13" s="5"/>
      <c r="C13" s="18"/>
      <c r="D13" s="18"/>
      <c r="E13" s="18"/>
      <c r="F13" s="18"/>
      <c r="G13" s="18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 t="s">
        <v>16</v>
      </c>
      <c r="AA13" s="27" t="s">
        <v>18</v>
      </c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N13" s="13"/>
      <c r="AO13" s="13"/>
      <c r="AP13" s="13"/>
      <c r="AQ13" s="13"/>
      <c r="AR13" s="13"/>
      <c r="AS13" s="14"/>
    </row>
    <row r="14" spans="2:64" ht="16.5" customHeight="1">
      <c r="B14" s="5"/>
      <c r="C14" s="18"/>
      <c r="D14" s="18"/>
      <c r="E14" s="18"/>
      <c r="F14" s="18"/>
      <c r="G14" s="18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52"/>
      <c r="AB14" s="52"/>
      <c r="AC14" s="58" t="s">
        <v>10</v>
      </c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P14" s="13"/>
      <c r="AQ14" s="13"/>
      <c r="AR14" s="13"/>
      <c r="AS14" s="14"/>
    </row>
    <row r="15" spans="2:64" ht="16.5" customHeight="1">
      <c r="B15" s="5"/>
      <c r="C15" s="18"/>
      <c r="D15" s="18"/>
      <c r="E15" s="18"/>
      <c r="F15" s="18"/>
      <c r="G15" s="18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52"/>
      <c r="AB15" s="52"/>
      <c r="AC15" s="58" t="s">
        <v>11</v>
      </c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P15" s="13"/>
      <c r="AQ15" s="13"/>
      <c r="AR15" s="13"/>
      <c r="AS15" s="14"/>
    </row>
    <row r="16" spans="2:64" ht="16.5" customHeight="1">
      <c r="B16" s="5"/>
      <c r="C16" s="18"/>
      <c r="D16" s="18"/>
      <c r="E16" s="18"/>
      <c r="F16" s="18"/>
      <c r="G16" s="18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52"/>
      <c r="AB16" s="52"/>
      <c r="AC16" s="56" t="s">
        <v>12</v>
      </c>
      <c r="AD16" s="56"/>
      <c r="AE16" s="57"/>
      <c r="AF16" s="53"/>
      <c r="AG16" s="54"/>
      <c r="AH16" s="64" t="s">
        <v>13</v>
      </c>
      <c r="AI16" s="65"/>
      <c r="AJ16" s="66"/>
      <c r="AK16" s="67"/>
      <c r="AL16" s="64" t="s">
        <v>8</v>
      </c>
      <c r="AM16" s="58"/>
      <c r="AR16" s="6"/>
      <c r="AS16" s="7"/>
    </row>
    <row r="17" spans="2:45" ht="13.5" customHeight="1">
      <c r="B17" s="5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C17" s="101" t="s">
        <v>57</v>
      </c>
      <c r="AD17" s="21"/>
      <c r="AE17" s="98"/>
      <c r="AF17" s="100"/>
      <c r="AG17" s="100"/>
      <c r="AH17" s="99"/>
      <c r="AI17" s="99"/>
      <c r="AJ17" s="99"/>
      <c r="AK17" s="99"/>
      <c r="AL17" s="99"/>
      <c r="AM17" s="99"/>
      <c r="AR17" s="18"/>
      <c r="AS17" s="7"/>
    </row>
    <row r="18" spans="2:45" ht="9" customHeight="1">
      <c r="B18" s="8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9"/>
    </row>
    <row r="19" spans="2:45" ht="9.75" customHeight="1"/>
    <row r="20" spans="2:45" ht="6.75" customHeight="1">
      <c r="B20" s="3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15"/>
      <c r="AO20" s="15"/>
      <c r="AP20" s="15"/>
      <c r="AQ20" s="15"/>
      <c r="AR20" s="15"/>
      <c r="AS20" s="16"/>
    </row>
    <row r="21" spans="2:45" ht="20.25" customHeight="1">
      <c r="B21" s="102" t="s">
        <v>15</v>
      </c>
      <c r="C21" s="18"/>
      <c r="D21" s="18"/>
      <c r="E21" s="18"/>
      <c r="F21" s="6" t="s">
        <v>16</v>
      </c>
      <c r="G21" s="27" t="s">
        <v>19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 t="s">
        <v>16</v>
      </c>
      <c r="T21" s="28" t="s">
        <v>20</v>
      </c>
      <c r="W21" s="6"/>
      <c r="X21" s="6"/>
      <c r="Y21" s="6"/>
      <c r="Z21" s="6"/>
      <c r="AA21" s="6"/>
      <c r="AB21" s="6"/>
      <c r="AC21" s="6"/>
      <c r="AD21" s="6"/>
      <c r="AE21" s="6"/>
      <c r="AF21" s="6"/>
      <c r="AI21" s="13"/>
      <c r="AJ21" s="13"/>
      <c r="AK21" s="13"/>
      <c r="AM21" s="13" t="s">
        <v>58</v>
      </c>
      <c r="AN21" s="13"/>
      <c r="AO21" s="20"/>
      <c r="AP21" s="20"/>
      <c r="AQ21" s="20"/>
      <c r="AR21" s="20"/>
      <c r="AS21" s="14"/>
    </row>
    <row r="22" spans="2:45" ht="18.75" customHeight="1">
      <c r="B22" s="5"/>
      <c r="C22" s="18"/>
      <c r="D22" s="18"/>
      <c r="E22" s="18"/>
      <c r="F22" s="31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31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M22" s="6"/>
      <c r="AS22" s="7"/>
    </row>
    <row r="23" spans="2:45" ht="15.75" customHeight="1">
      <c r="B23" s="5"/>
      <c r="C23" s="18"/>
      <c r="D23" s="18"/>
      <c r="E23" s="18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17"/>
      <c r="AI23" s="13"/>
      <c r="AJ23" s="13"/>
      <c r="AK23" s="13"/>
      <c r="AM23" s="13"/>
      <c r="AS23" s="14"/>
    </row>
    <row r="24" spans="2:45" ht="15.75" customHeight="1">
      <c r="B24" s="5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7"/>
      <c r="AI24" s="20"/>
      <c r="AJ24" s="20"/>
      <c r="AK24" s="20"/>
      <c r="AM24" s="20"/>
      <c r="AS24" s="14"/>
    </row>
    <row r="25" spans="2:45" ht="15.75" customHeight="1">
      <c r="B25" s="5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7"/>
      <c r="AI25" s="20"/>
      <c r="AJ25" s="20"/>
      <c r="AK25" s="20"/>
      <c r="AM25" s="20"/>
      <c r="AS25" s="14"/>
    </row>
    <row r="26" spans="2:45" ht="15.75" customHeight="1">
      <c r="B26" s="5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7"/>
      <c r="AI26" s="20"/>
      <c r="AJ26" s="20"/>
      <c r="AK26" s="20"/>
      <c r="AM26" s="20"/>
      <c r="AS26" s="14"/>
    </row>
    <row r="27" spans="2:45" ht="9" customHeight="1">
      <c r="B27" s="8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9"/>
    </row>
    <row r="28" spans="2:45" ht="7.5" customHeight="1"/>
    <row r="29" spans="2:45" ht="11.25" customHeight="1"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15"/>
      <c r="AO29" s="15"/>
      <c r="AP29" s="15"/>
      <c r="AQ29" s="15"/>
      <c r="AR29" s="15"/>
      <c r="AS29" s="16"/>
    </row>
    <row r="30" spans="2:45" ht="17.25" customHeight="1">
      <c r="B30" s="102" t="s">
        <v>21</v>
      </c>
      <c r="C30" s="18"/>
      <c r="D30" s="18"/>
      <c r="E30" s="18"/>
      <c r="F30" s="6" t="s">
        <v>16</v>
      </c>
      <c r="G30" s="27" t="s">
        <v>36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 t="s">
        <v>16</v>
      </c>
      <c r="T30" s="28" t="s">
        <v>38</v>
      </c>
      <c r="W30" s="6"/>
      <c r="X30" s="6"/>
      <c r="Y30" s="6"/>
      <c r="Z30" s="6"/>
      <c r="AA30" s="6"/>
      <c r="AB30" s="6"/>
      <c r="AC30" s="6"/>
      <c r="AD30" s="6"/>
      <c r="AE30" s="6"/>
      <c r="AF30" s="6"/>
      <c r="AI30" s="13"/>
      <c r="AJ30" s="13"/>
      <c r="AK30" s="13"/>
      <c r="AL30" s="13"/>
      <c r="AM30" s="13"/>
      <c r="AO30" s="20"/>
      <c r="AP30" s="20"/>
      <c r="AQ30" s="20"/>
      <c r="AR30" s="20"/>
      <c r="AS30" s="14"/>
    </row>
    <row r="31" spans="2:45" ht="17.25" customHeight="1">
      <c r="B31" s="5"/>
      <c r="C31" s="18"/>
      <c r="D31" s="18"/>
      <c r="E31" s="18"/>
      <c r="F31" s="31"/>
      <c r="G31" s="48"/>
      <c r="H31" s="48"/>
      <c r="I31" s="48"/>
      <c r="J31" s="48"/>
      <c r="K31" s="31"/>
      <c r="L31" s="31"/>
      <c r="M31" s="31"/>
      <c r="N31" s="31"/>
      <c r="O31" s="31"/>
      <c r="P31" s="31"/>
      <c r="Q31" s="31"/>
      <c r="R31" s="31"/>
      <c r="S31" s="31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O31" s="31"/>
      <c r="AP31" s="31"/>
      <c r="AQ31" s="31"/>
      <c r="AR31" s="31"/>
      <c r="AS31" s="7"/>
    </row>
    <row r="32" spans="2:45" ht="17.25" customHeight="1">
      <c r="B32" s="5"/>
      <c r="C32" s="18"/>
      <c r="D32" s="18"/>
      <c r="E32" s="18"/>
      <c r="F32" s="31"/>
      <c r="G32" s="48"/>
      <c r="H32" s="48"/>
      <c r="I32" s="48"/>
      <c r="J32" s="48"/>
      <c r="K32" s="31"/>
      <c r="L32" s="31"/>
      <c r="M32" s="31"/>
      <c r="N32" s="31"/>
      <c r="O32" s="31"/>
      <c r="P32" s="31"/>
      <c r="Q32" s="31"/>
      <c r="R32" s="31"/>
      <c r="S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6"/>
      <c r="AO32" s="18"/>
      <c r="AP32" s="18"/>
      <c r="AQ32" s="18"/>
      <c r="AR32" s="18"/>
      <c r="AS32" s="7"/>
    </row>
    <row r="33" spans="2:67" ht="17.25" customHeight="1">
      <c r="B33" s="5"/>
      <c r="C33" s="18"/>
      <c r="D33" s="18"/>
      <c r="E33" s="18"/>
      <c r="F33" s="31"/>
      <c r="G33" s="31"/>
      <c r="H33" s="31"/>
      <c r="I33" s="31"/>
      <c r="J33" s="31"/>
      <c r="K33" s="32" t="s">
        <v>9</v>
      </c>
      <c r="L33" s="36"/>
      <c r="M33" s="37"/>
      <c r="N33" s="37"/>
      <c r="O33" s="37"/>
      <c r="P33" s="38"/>
      <c r="Q33" s="33" t="s">
        <v>37</v>
      </c>
      <c r="R33" s="6"/>
      <c r="S33" s="6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6"/>
      <c r="AO33" s="18"/>
      <c r="AP33" s="18"/>
      <c r="AQ33" s="18"/>
      <c r="AR33" s="18"/>
      <c r="AS33" s="7"/>
    </row>
    <row r="34" spans="2:67" ht="8.25" customHeight="1">
      <c r="B34" s="8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9"/>
    </row>
    <row r="35" spans="2:67" ht="7.5" customHeight="1"/>
    <row r="36" spans="2:67" ht="6.75" customHeight="1"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15"/>
      <c r="AO36" s="15"/>
      <c r="AP36" s="15"/>
      <c r="AQ36" s="15"/>
      <c r="AR36" s="15"/>
      <c r="AS36" s="16"/>
    </row>
    <row r="37" spans="2:67" ht="19.5" thickBot="1">
      <c r="B37" s="102" t="s">
        <v>35</v>
      </c>
      <c r="C37" s="18"/>
      <c r="D37" s="18"/>
      <c r="E37" s="18"/>
      <c r="F37" s="6" t="s">
        <v>16</v>
      </c>
      <c r="G37" s="27" t="s">
        <v>22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J37" s="13"/>
      <c r="AK37" s="13"/>
      <c r="AL37" s="13"/>
      <c r="AM37" s="13"/>
      <c r="AN37" s="13"/>
      <c r="AQ37" s="20"/>
      <c r="AR37" s="20"/>
      <c r="AS37" s="14"/>
      <c r="AT37" s="20"/>
      <c r="BN37" s="12" t="s">
        <v>29</v>
      </c>
      <c r="BO37" s="12" t="s">
        <v>30</v>
      </c>
    </row>
    <row r="38" spans="2:67" ht="17.25" customHeight="1">
      <c r="B38" s="5"/>
      <c r="C38" s="18"/>
      <c r="D38" s="18"/>
      <c r="E38" s="18"/>
      <c r="F38" s="3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34"/>
      <c r="AE38" s="103"/>
      <c r="AF38" s="103"/>
      <c r="AG38" s="103"/>
      <c r="AH38" s="103"/>
      <c r="AI38" s="103"/>
      <c r="AJ38" s="103"/>
      <c r="AK38" s="39">
        <f>INDEX(BN38:BO38,$BK$12,$BJ$12)</f>
        <v>14000</v>
      </c>
      <c r="AL38" s="39"/>
      <c r="AM38" s="39"/>
      <c r="AN38" s="39"/>
      <c r="AO38" s="39"/>
      <c r="AQ38" s="18"/>
      <c r="AR38" s="18"/>
      <c r="AS38" s="7"/>
      <c r="AT38" s="18"/>
      <c r="BF38" s="73" t="b">
        <v>1</v>
      </c>
      <c r="BG38" s="73" t="b">
        <v>0</v>
      </c>
      <c r="BH38" s="73" t="b">
        <v>0</v>
      </c>
      <c r="BI38" s="74"/>
      <c r="BJ38" s="80" t="b">
        <f>OR(BF38:BI38)</f>
        <v>1</v>
      </c>
      <c r="BK38" s="26">
        <f>IF(BJ38,INDEX($BN$38:$BO$38,$BK$12,$BJ$12),0)</f>
        <v>14000</v>
      </c>
      <c r="BM38" s="1" t="s">
        <v>25</v>
      </c>
      <c r="BN38" s="12">
        <v>14000</v>
      </c>
      <c r="BO38" s="12">
        <v>10000</v>
      </c>
    </row>
    <row r="39" spans="2:67" ht="17.25" customHeight="1">
      <c r="B39" s="5"/>
      <c r="C39" s="18"/>
      <c r="D39" s="18"/>
      <c r="E39" s="18"/>
      <c r="F39" s="31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50" t="s">
        <v>24</v>
      </c>
      <c r="AF39" s="50"/>
      <c r="AG39" s="50"/>
      <c r="AH39" s="50"/>
      <c r="AI39" s="50"/>
      <c r="AJ39" s="25"/>
      <c r="AK39" s="40">
        <f>INDEX(BN39:BO39,$BK$12,$BJ$12)</f>
        <v>20000</v>
      </c>
      <c r="AL39" s="40"/>
      <c r="AM39" s="40"/>
      <c r="AN39" s="40"/>
      <c r="AO39" s="40"/>
      <c r="AQ39" s="18"/>
      <c r="AR39" s="18"/>
      <c r="AS39" s="7"/>
      <c r="AT39" s="18"/>
      <c r="BF39" s="75" t="b">
        <v>0</v>
      </c>
      <c r="BG39" s="75" t="b">
        <v>0</v>
      </c>
      <c r="BH39" s="75" t="b">
        <v>0</v>
      </c>
      <c r="BI39" s="76" t="b">
        <v>0</v>
      </c>
      <c r="BJ39" s="81" t="b">
        <f>OR(BF39:BI39)</f>
        <v>0</v>
      </c>
      <c r="BK39" s="49">
        <f>IF(BJ39,INDEX($BN$39:$BO$40,$BK$12,$BJ$12),0)</f>
        <v>0</v>
      </c>
      <c r="BM39" s="1" t="s">
        <v>28</v>
      </c>
      <c r="BN39" s="12">
        <v>20000</v>
      </c>
      <c r="BO39" s="12">
        <v>14200</v>
      </c>
    </row>
    <row r="40" spans="2:67" ht="17.25" customHeight="1">
      <c r="B40" s="5"/>
      <c r="C40" s="18"/>
      <c r="D40" s="18"/>
      <c r="E40" s="18"/>
      <c r="F40" s="3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43" t="s">
        <v>23</v>
      </c>
      <c r="AF40" s="43"/>
      <c r="AG40" s="43"/>
      <c r="AH40" s="43"/>
      <c r="AI40" s="43"/>
      <c r="AJ40" s="24"/>
      <c r="AK40" s="39">
        <f>INDEX(BN40:BO40,$BK$12,$BJ$12)</f>
        <v>26000</v>
      </c>
      <c r="AL40" s="39"/>
      <c r="AM40" s="39"/>
      <c r="AN40" s="39"/>
      <c r="AO40" s="39"/>
      <c r="AQ40" s="18"/>
      <c r="AR40" s="18"/>
      <c r="AS40" s="7"/>
      <c r="AT40" s="18"/>
      <c r="BF40" s="77"/>
      <c r="BG40" s="77"/>
      <c r="BH40" s="77"/>
      <c r="BI40" s="78"/>
      <c r="BJ40" s="81"/>
      <c r="BK40" s="49"/>
      <c r="BN40" s="12">
        <v>26000</v>
      </c>
      <c r="BO40" s="12">
        <v>18500</v>
      </c>
    </row>
    <row r="41" spans="2:67" ht="17.25" customHeight="1">
      <c r="B41" s="5"/>
      <c r="C41" s="18"/>
      <c r="D41" s="18"/>
      <c r="E41" s="18"/>
      <c r="F41" s="3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50" t="s">
        <v>24</v>
      </c>
      <c r="AF41" s="50"/>
      <c r="AG41" s="50"/>
      <c r="AH41" s="50"/>
      <c r="AI41" s="50"/>
      <c r="AJ41" s="25"/>
      <c r="AK41" s="40">
        <f>INDEX(BN41:BO41,$BK$12,$BJ$12)</f>
        <v>24000</v>
      </c>
      <c r="AL41" s="40"/>
      <c r="AM41" s="40"/>
      <c r="AN41" s="40"/>
      <c r="AO41" s="40"/>
      <c r="AQ41" s="18"/>
      <c r="AR41" s="18"/>
      <c r="AS41" s="7"/>
      <c r="AT41" s="18"/>
      <c r="BF41" s="75" t="b">
        <v>0</v>
      </c>
      <c r="BG41" s="75"/>
      <c r="BH41" s="75"/>
      <c r="BI41" s="76"/>
      <c r="BJ41" s="81" t="b">
        <f>OR(BF41:BI41)</f>
        <v>0</v>
      </c>
      <c r="BK41" s="49">
        <f>IF(BJ41,INDEX($BN$41:$BO$42,$BK$12,$BJ$12),0)</f>
        <v>0</v>
      </c>
      <c r="BM41" s="1" t="s">
        <v>26</v>
      </c>
      <c r="BN41" s="12">
        <v>24000</v>
      </c>
      <c r="BO41" s="12">
        <v>17100</v>
      </c>
    </row>
    <row r="42" spans="2:67" ht="17.25" customHeight="1">
      <c r="B42" s="5"/>
      <c r="C42" s="18"/>
      <c r="D42" s="18"/>
      <c r="E42" s="18"/>
      <c r="F42" s="3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43" t="s">
        <v>23</v>
      </c>
      <c r="AF42" s="43"/>
      <c r="AG42" s="43"/>
      <c r="AH42" s="43"/>
      <c r="AI42" s="43"/>
      <c r="AJ42" s="24"/>
      <c r="AK42" s="39">
        <f>INDEX(BN42:BO42,$BK$12,$BJ$12)</f>
        <v>30000</v>
      </c>
      <c r="AL42" s="39"/>
      <c r="AM42" s="39"/>
      <c r="AN42" s="39"/>
      <c r="AO42" s="39"/>
      <c r="AQ42" s="18"/>
      <c r="AR42" s="18"/>
      <c r="AS42" s="7"/>
      <c r="AT42" s="18"/>
      <c r="BF42" s="77"/>
      <c r="BG42" s="77"/>
      <c r="BH42" s="77"/>
      <c r="BI42" s="78"/>
      <c r="BJ42" s="81"/>
      <c r="BK42" s="49"/>
      <c r="BN42" s="12">
        <v>30000</v>
      </c>
      <c r="BO42" s="12">
        <v>21400</v>
      </c>
    </row>
    <row r="43" spans="2:67" ht="17.25" customHeight="1">
      <c r="B43" s="5"/>
      <c r="C43" s="18"/>
      <c r="D43" s="18"/>
      <c r="E43" s="18"/>
      <c r="F43" s="3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35"/>
      <c r="X43" s="35"/>
      <c r="Y43" s="35"/>
      <c r="Z43" s="35"/>
      <c r="AA43" s="35"/>
      <c r="AB43" s="35"/>
      <c r="AC43" s="35"/>
      <c r="AD43" s="35"/>
      <c r="AE43" s="50" t="s">
        <v>24</v>
      </c>
      <c r="AF43" s="50"/>
      <c r="AG43" s="50"/>
      <c r="AH43" s="50"/>
      <c r="AI43" s="50"/>
      <c r="AJ43" s="25"/>
      <c r="AK43" s="40">
        <f>INDEX(BN43:BO43,$BK$12,$BJ$12)</f>
        <v>28000</v>
      </c>
      <c r="AL43" s="40"/>
      <c r="AM43" s="40"/>
      <c r="AN43" s="40"/>
      <c r="AO43" s="40"/>
      <c r="AQ43" s="18"/>
      <c r="AR43" s="18"/>
      <c r="AS43" s="7"/>
      <c r="AT43" s="18"/>
      <c r="BF43" s="75" t="b">
        <v>0</v>
      </c>
      <c r="BG43" s="75" t="b">
        <v>0</v>
      </c>
      <c r="BH43" s="75"/>
      <c r="BI43" s="76"/>
      <c r="BJ43" s="81" t="b">
        <f>OR(BF43:BI43)</f>
        <v>0</v>
      </c>
      <c r="BK43" s="49">
        <f>IF(BJ43,INDEX($BN$43:$BO$44,$BK$12,$BJ$12),0)</f>
        <v>0</v>
      </c>
      <c r="BM43" s="1" t="s">
        <v>27</v>
      </c>
      <c r="BN43" s="12">
        <v>28000</v>
      </c>
      <c r="BO43" s="12">
        <v>20000</v>
      </c>
    </row>
    <row r="44" spans="2:67" ht="17.25" customHeight="1" thickBot="1">
      <c r="B44" s="5"/>
      <c r="C44" s="18"/>
      <c r="D44" s="18"/>
      <c r="E44" s="18"/>
      <c r="F44" s="31"/>
      <c r="G44" s="42" t="s">
        <v>39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31"/>
      <c r="X44" s="31"/>
      <c r="Y44" s="31"/>
      <c r="Z44" s="31"/>
      <c r="AA44" s="31"/>
      <c r="AB44" s="31"/>
      <c r="AC44" s="31"/>
      <c r="AD44" s="31"/>
      <c r="AE44" s="50" t="s">
        <v>23</v>
      </c>
      <c r="AF44" s="50"/>
      <c r="AG44" s="50"/>
      <c r="AH44" s="50"/>
      <c r="AI44" s="50"/>
      <c r="AJ44" s="25"/>
      <c r="AK44" s="40">
        <f>INDEX(BN44:BO44,$BK$12,$BJ$12)</f>
        <v>34000</v>
      </c>
      <c r="AL44" s="40"/>
      <c r="AM44" s="40"/>
      <c r="AN44" s="40"/>
      <c r="AO44" s="40"/>
      <c r="AQ44" s="18"/>
      <c r="AR44" s="18"/>
      <c r="AS44" s="7"/>
      <c r="AT44" s="18"/>
      <c r="BF44" s="77"/>
      <c r="BG44" s="77"/>
      <c r="BH44" s="77"/>
      <c r="BI44" s="78"/>
      <c r="BJ44" s="82"/>
      <c r="BK44" s="49"/>
      <c r="BN44" s="12">
        <v>34000</v>
      </c>
      <c r="BO44" s="12">
        <v>24200</v>
      </c>
    </row>
    <row r="45" spans="2:67" ht="12.75" customHeight="1">
      <c r="B45" s="5"/>
      <c r="C45" s="18"/>
      <c r="D45" s="18"/>
      <c r="E45" s="18"/>
      <c r="F45" s="6"/>
      <c r="G45" s="22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Q45" s="18"/>
      <c r="AR45" s="18"/>
      <c r="AS45" s="7"/>
      <c r="AT45" s="18"/>
      <c r="BD45" s="12" t="s">
        <v>45</v>
      </c>
    </row>
    <row r="46" spans="2:67" ht="15.75" customHeight="1">
      <c r="B46" s="5"/>
      <c r="C46" s="18"/>
      <c r="D46" s="18"/>
      <c r="E46" s="18"/>
      <c r="F46" s="6" t="s">
        <v>16</v>
      </c>
      <c r="G46" s="27" t="s">
        <v>32</v>
      </c>
      <c r="H46" s="6"/>
      <c r="I46" s="6"/>
      <c r="J46" s="6"/>
      <c r="K46" s="6"/>
      <c r="L46" s="6"/>
      <c r="M46" s="44"/>
      <c r="N46" s="45"/>
      <c r="O46" s="45"/>
      <c r="P46" s="45"/>
      <c r="Q46" s="45"/>
      <c r="R46" s="45"/>
      <c r="S46" s="45"/>
      <c r="T46" s="46"/>
      <c r="U46" s="6"/>
      <c r="V46" s="6"/>
      <c r="W46" s="6" t="s">
        <v>33</v>
      </c>
      <c r="X46" s="6"/>
      <c r="Y46" s="47"/>
      <c r="Z46" s="47"/>
      <c r="AA46" s="47"/>
      <c r="AB46" s="47"/>
      <c r="AC46" s="47"/>
      <c r="AD46" s="47"/>
      <c r="AE46" s="6"/>
      <c r="AI46" s="84"/>
      <c r="AJ46" s="85"/>
      <c r="AK46" s="85"/>
      <c r="AL46" s="85"/>
      <c r="AM46" s="85"/>
      <c r="AN46" s="85"/>
      <c r="AO46" s="85"/>
      <c r="AP46" s="86"/>
      <c r="AQ46" s="27" t="s">
        <v>34</v>
      </c>
      <c r="AS46" s="7"/>
      <c r="AT46" s="18"/>
      <c r="BC46" s="72" t="b">
        <f>AI46=BD46</f>
        <v>0</v>
      </c>
      <c r="BD46" s="87">
        <f>SUM(BK38:BK44)</f>
        <v>14000</v>
      </c>
    </row>
    <row r="47" spans="2:67" ht="9" customHeight="1">
      <c r="B47" s="8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9"/>
    </row>
    <row r="49" spans="2:67" ht="6.75" customHeight="1"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15"/>
      <c r="AK49" s="15"/>
      <c r="AL49" s="15"/>
      <c r="AM49" s="15"/>
      <c r="AN49" s="15"/>
      <c r="AO49" s="15"/>
      <c r="AP49" s="15"/>
      <c r="AQ49" s="15"/>
      <c r="AR49" s="15"/>
      <c r="AS49" s="16"/>
    </row>
    <row r="50" spans="2:67" ht="19.5" thickBot="1">
      <c r="B50" s="102" t="s">
        <v>43</v>
      </c>
      <c r="C50" s="18"/>
      <c r="D50" s="18"/>
      <c r="E50" s="18"/>
      <c r="F50" s="18" t="s">
        <v>16</v>
      </c>
      <c r="G50" s="27" t="s">
        <v>40</v>
      </c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20"/>
      <c r="AK50" s="20"/>
      <c r="AL50" s="20"/>
      <c r="AM50" s="20"/>
      <c r="AN50" s="20"/>
      <c r="AO50" s="20"/>
      <c r="AP50" s="20"/>
      <c r="AQ50" s="20"/>
      <c r="AR50" s="20"/>
      <c r="AS50" s="14"/>
      <c r="BN50" s="12" t="s">
        <v>29</v>
      </c>
      <c r="BO50" s="12" t="s">
        <v>30</v>
      </c>
    </row>
    <row r="51" spans="2:67" ht="17.25" customHeight="1">
      <c r="B51" s="5"/>
      <c r="C51" s="18"/>
      <c r="D51" s="18"/>
      <c r="E51" s="18"/>
      <c r="F51" s="3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24"/>
      <c r="AF51" s="24"/>
      <c r="AG51" s="24"/>
      <c r="AH51" s="24"/>
      <c r="AI51" s="24"/>
      <c r="AJ51" s="103"/>
      <c r="AK51" s="39">
        <f>INDEX(BN51:BO51,$BK$12,$BJ$12)</f>
        <v>0</v>
      </c>
      <c r="AL51" s="39"/>
      <c r="AM51" s="39"/>
      <c r="AN51" s="39"/>
      <c r="AO51" s="39"/>
      <c r="AP51" s="30"/>
      <c r="AQ51" s="30"/>
      <c r="AR51" s="30"/>
      <c r="AS51" s="7"/>
      <c r="BF51" s="73" t="b">
        <v>1</v>
      </c>
      <c r="BG51" s="73" t="b">
        <v>0</v>
      </c>
      <c r="BH51" s="73"/>
      <c r="BI51" s="74"/>
      <c r="BJ51" s="80" t="b">
        <f>OR(BF51:BI51)</f>
        <v>1</v>
      </c>
      <c r="BK51" s="26">
        <v>0</v>
      </c>
      <c r="BM51" s="1" t="s">
        <v>41</v>
      </c>
      <c r="BN51" s="12"/>
      <c r="BO51" s="12"/>
    </row>
    <row r="52" spans="2:67" ht="17.25" customHeight="1" thickBot="1">
      <c r="B52" s="5"/>
      <c r="C52" s="18"/>
      <c r="D52" s="18"/>
      <c r="E52" s="18"/>
      <c r="F52" s="3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23"/>
      <c r="AF52" s="23"/>
      <c r="AG52" s="23"/>
      <c r="AH52" s="23"/>
      <c r="AI52" s="23"/>
      <c r="AK52" s="40">
        <f>INDEX(BN52:BO52,$BK$12,$BJ$12)</f>
        <v>2000</v>
      </c>
      <c r="AL52" s="40"/>
      <c r="AM52" s="40"/>
      <c r="AN52" s="40"/>
      <c r="AO52" s="40"/>
      <c r="AP52" s="30"/>
      <c r="AQ52" s="30"/>
      <c r="AR52" s="30"/>
      <c r="AS52" s="7"/>
      <c r="BF52" s="73" t="b">
        <v>0</v>
      </c>
      <c r="BG52" s="73"/>
      <c r="BH52" s="73"/>
      <c r="BI52" s="74"/>
      <c r="BJ52" s="83" t="b">
        <f>OR(BF52:BI52)</f>
        <v>0</v>
      </c>
      <c r="BK52" s="26">
        <f>IF(BJ52,INDEX($BN$52:$BO$52,$BK$12,$BJ$12),0)</f>
        <v>0</v>
      </c>
      <c r="BM52" s="1" t="s">
        <v>42</v>
      </c>
      <c r="BN52" s="12">
        <v>2000</v>
      </c>
      <c r="BO52" s="12">
        <v>1400</v>
      </c>
    </row>
    <row r="53" spans="2:67" ht="12" customHeight="1">
      <c r="B53" s="5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7"/>
      <c r="BC53" s="1" t="s">
        <v>46</v>
      </c>
      <c r="BD53" s="12" t="s">
        <v>45</v>
      </c>
    </row>
    <row r="54" spans="2:67" ht="15.75" customHeight="1">
      <c r="B54" s="5"/>
      <c r="C54" s="18"/>
      <c r="D54" s="18"/>
      <c r="E54" s="18"/>
      <c r="F54" s="18" t="s">
        <v>16</v>
      </c>
      <c r="G54" s="27" t="s">
        <v>44</v>
      </c>
      <c r="H54" s="18"/>
      <c r="I54" s="18"/>
      <c r="J54" s="18"/>
      <c r="K54" s="18"/>
      <c r="L54" s="18"/>
      <c r="M54" s="68"/>
      <c r="N54" s="69"/>
      <c r="O54" s="69"/>
      <c r="P54" s="69"/>
      <c r="Q54" s="69"/>
      <c r="R54" s="69"/>
      <c r="S54" s="69"/>
      <c r="T54" s="70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I54" s="84"/>
      <c r="AJ54" s="85"/>
      <c r="AK54" s="85"/>
      <c r="AL54" s="85"/>
      <c r="AM54" s="85"/>
      <c r="AN54" s="85"/>
      <c r="AO54" s="85"/>
      <c r="AP54" s="86"/>
      <c r="AQ54" s="27" t="s">
        <v>34</v>
      </c>
      <c r="AR54" s="27"/>
      <c r="AS54" s="7"/>
      <c r="BC54" s="72" t="b">
        <f>AI54=BD54</f>
        <v>1</v>
      </c>
      <c r="BD54" s="88">
        <f>SUM(BK51:BK52)</f>
        <v>0</v>
      </c>
    </row>
    <row r="55" spans="2:67" ht="8.25" customHeight="1">
      <c r="B55" s="8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9"/>
    </row>
    <row r="57" spans="2:67" ht="19.5" customHeight="1">
      <c r="AD57" s="89"/>
      <c r="AE57" s="89"/>
      <c r="AF57" s="89"/>
      <c r="AG57" s="89"/>
      <c r="AH57" s="91" t="s">
        <v>47</v>
      </c>
      <c r="AI57" s="84"/>
      <c r="AJ57" s="85"/>
      <c r="AK57" s="85"/>
      <c r="AL57" s="85"/>
      <c r="AM57" s="85"/>
      <c r="AN57" s="85"/>
      <c r="AO57" s="85"/>
      <c r="AP57" s="86"/>
      <c r="AQ57" s="92" t="s">
        <v>34</v>
      </c>
      <c r="AR57" s="92"/>
      <c r="AS57" s="92"/>
    </row>
    <row r="58" spans="2:67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93" t="s">
        <v>48</v>
      </c>
      <c r="AR58" s="93"/>
      <c r="AS58" s="93"/>
    </row>
    <row r="59" spans="2:67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93" t="s">
        <v>49</v>
      </c>
      <c r="AR59" s="93"/>
      <c r="AS59" s="93"/>
    </row>
    <row r="60" spans="2:67" ht="9" customHeight="1" thickBot="1"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</row>
    <row r="61" spans="2:67" ht="8.25" customHeight="1"/>
    <row r="62" spans="2:67" s="71" customFormat="1" ht="14.25" customHeight="1">
      <c r="B62" s="71" t="s">
        <v>50</v>
      </c>
      <c r="J62" s="95" t="s">
        <v>51</v>
      </c>
      <c r="K62" s="95"/>
      <c r="L62" s="95"/>
      <c r="M62" s="95"/>
      <c r="N62" s="95"/>
      <c r="P62" s="71" t="s">
        <v>53</v>
      </c>
      <c r="R62" s="71" t="s">
        <v>54</v>
      </c>
      <c r="AI62" s="90" t="s">
        <v>56</v>
      </c>
      <c r="AJ62" s="53"/>
      <c r="AK62" s="96"/>
      <c r="AL62" s="96"/>
      <c r="AM62" s="96"/>
      <c r="AN62" s="96"/>
      <c r="AO62" s="96"/>
      <c r="AP62" s="54"/>
    </row>
    <row r="63" spans="2:67" s="71" customFormat="1" ht="14.25" customHeight="1">
      <c r="J63" s="95" t="s">
        <v>52</v>
      </c>
      <c r="K63" s="95"/>
      <c r="L63" s="95"/>
      <c r="M63" s="95"/>
      <c r="N63" s="95"/>
      <c r="P63" s="71" t="s">
        <v>53</v>
      </c>
      <c r="R63" s="71" t="s">
        <v>55</v>
      </c>
    </row>
  </sheetData>
  <mergeCells count="95">
    <mergeCell ref="AK42:AO42"/>
    <mergeCell ref="AK43:AO43"/>
    <mergeCell ref="AK44:AO44"/>
    <mergeCell ref="AK51:AO51"/>
    <mergeCell ref="AK52:AO52"/>
    <mergeCell ref="J63:N63"/>
    <mergeCell ref="J62:N62"/>
    <mergeCell ref="AJ62:AP62"/>
    <mergeCell ref="K4:P4"/>
    <mergeCell ref="V4:AB4"/>
    <mergeCell ref="AI4:AP4"/>
    <mergeCell ref="AE40:AI40"/>
    <mergeCell ref="AE39:AI39"/>
    <mergeCell ref="AE41:AI41"/>
    <mergeCell ref="AE42:AI42"/>
    <mergeCell ref="AE43:AI43"/>
    <mergeCell ref="AE44:AI44"/>
    <mergeCell ref="M54:T54"/>
    <mergeCell ref="AI54:AP54"/>
    <mergeCell ref="AI57:AP57"/>
    <mergeCell ref="G52:L52"/>
    <mergeCell ref="M52:R52"/>
    <mergeCell ref="G51:L51"/>
    <mergeCell ref="M51:R51"/>
    <mergeCell ref="B6:AR6"/>
    <mergeCell ref="B7:AR7"/>
    <mergeCell ref="AF16:AG16"/>
    <mergeCell ref="AH16:AI16"/>
    <mergeCell ref="AJ16:AK16"/>
    <mergeCell ref="AC16:AE16"/>
    <mergeCell ref="AL16:AM16"/>
    <mergeCell ref="AC15:AM15"/>
    <mergeCell ref="K2:P2"/>
    <mergeCell ref="AA16:AB16"/>
    <mergeCell ref="AK11:AL11"/>
    <mergeCell ref="AD11:AE11"/>
    <mergeCell ref="AF11:AG11"/>
    <mergeCell ref="AM11:AN11"/>
    <mergeCell ref="AA11:AC11"/>
    <mergeCell ref="AH11:AJ11"/>
    <mergeCell ref="AC14:AM14"/>
    <mergeCell ref="AA14:AB14"/>
    <mergeCell ref="AA15:AB15"/>
    <mergeCell ref="G22:L22"/>
    <mergeCell ref="M22:R22"/>
    <mergeCell ref="T22:Y22"/>
    <mergeCell ref="Z22:AE22"/>
    <mergeCell ref="AF22:AK22"/>
    <mergeCell ref="BH41:BH42"/>
    <mergeCell ref="BI41:BI42"/>
    <mergeCell ref="BG41:BG42"/>
    <mergeCell ref="BF41:BF42"/>
    <mergeCell ref="BG39:BG40"/>
    <mergeCell ref="BF39:BF40"/>
    <mergeCell ref="BG43:BG44"/>
    <mergeCell ref="BF43:BF44"/>
    <mergeCell ref="AK38:AO38"/>
    <mergeCell ref="AK39:AO39"/>
    <mergeCell ref="AK40:AO40"/>
    <mergeCell ref="AK41:AO41"/>
    <mergeCell ref="BK39:BK40"/>
    <mergeCell ref="BK41:BK42"/>
    <mergeCell ref="BK43:BK44"/>
    <mergeCell ref="BH43:BH44"/>
    <mergeCell ref="BI43:BI44"/>
    <mergeCell ref="BJ39:BJ40"/>
    <mergeCell ref="BJ41:BJ42"/>
    <mergeCell ref="BJ43:BJ44"/>
    <mergeCell ref="BH39:BH40"/>
    <mergeCell ref="BI39:BI40"/>
    <mergeCell ref="M46:T46"/>
    <mergeCell ref="AB46:AD46"/>
    <mergeCell ref="Y46:AA46"/>
    <mergeCell ref="AI46:AP46"/>
    <mergeCell ref="G31:J31"/>
    <mergeCell ref="G32:J32"/>
    <mergeCell ref="G41:L42"/>
    <mergeCell ref="M41:R42"/>
    <mergeCell ref="S41:X42"/>
    <mergeCell ref="Y41:AD42"/>
    <mergeCell ref="G39:L40"/>
    <mergeCell ref="M39:R40"/>
    <mergeCell ref="S39:X40"/>
    <mergeCell ref="Y39:AD40"/>
    <mergeCell ref="S38:AC38"/>
    <mergeCell ref="G38:L38"/>
    <mergeCell ref="G43:N43"/>
    <mergeCell ref="O43:V43"/>
    <mergeCell ref="G44:V44"/>
    <mergeCell ref="M38:R38"/>
    <mergeCell ref="T31:X31"/>
    <mergeCell ref="Y31:AC31"/>
    <mergeCell ref="AD31:AH31"/>
    <mergeCell ref="L33:P33"/>
    <mergeCell ref="AI31:AM31"/>
  </mergeCells>
  <phoneticPr fontId="1"/>
  <pageMargins left="0.23622047244094491" right="0.23622047244094491" top="0.35433070866141736" bottom="0.35433070866141736" header="0" footer="0.31496062992125984"/>
  <pageSetup paperSize="9" scale="85" orientation="portrait" r:id="rId1"/>
  <rowBreaks count="1" manualBreakCount="1">
    <brk id="69" max="12" man="1"/>
  </rowBreaks>
  <colBreaks count="1" manualBreakCount="1">
    <brk id="46" max="63" man="1"/>
  </colBreaks>
  <drawing r:id="rId2"/>
  <legacyDrawing r:id="rId3"/>
  <controls>
    <mc:AlternateContent xmlns:mc="http://schemas.openxmlformats.org/markup-compatibility/2006">
      <mc:Choice Requires="x14">
        <control shapeId="1132" r:id="rId4" name="OptionButton33">
          <controlPr defaultSize="0" autoLine="0" r:id="rId5">
            <anchor moveWithCells="1" sizeWithCells="1">
              <from>
                <xdr:col>41</xdr:col>
                <xdr:colOff>19050</xdr:colOff>
                <xdr:row>21</xdr:row>
                <xdr:rowOff>66675</xdr:rowOff>
              </from>
              <to>
                <xdr:col>43</xdr:col>
                <xdr:colOff>114300</xdr:colOff>
                <xdr:row>21</xdr:row>
                <xdr:rowOff>238125</xdr:rowOff>
              </to>
            </anchor>
          </controlPr>
        </control>
      </mc:Choice>
      <mc:Fallback>
        <control shapeId="1132" r:id="rId4" name="OptionButton33"/>
      </mc:Fallback>
    </mc:AlternateContent>
    <mc:AlternateContent xmlns:mc="http://schemas.openxmlformats.org/markup-compatibility/2006">
      <mc:Choice Requires="x14">
        <control shapeId="1131" r:id="rId6" name="OptionButton31">
          <controlPr defaultSize="0" autoLine="0" r:id="rId7">
            <anchor moveWithCells="1" sizeWithCells="1">
              <from>
                <xdr:col>38</xdr:col>
                <xdr:colOff>76200</xdr:colOff>
                <xdr:row>21</xdr:row>
                <xdr:rowOff>57150</xdr:rowOff>
              </from>
              <to>
                <xdr:col>40</xdr:col>
                <xdr:colOff>171450</xdr:colOff>
                <xdr:row>21</xdr:row>
                <xdr:rowOff>228600</xdr:rowOff>
              </to>
            </anchor>
          </controlPr>
        </control>
      </mc:Choice>
      <mc:Fallback>
        <control shapeId="1131" r:id="rId6" name="OptionButton31"/>
      </mc:Fallback>
    </mc:AlternateContent>
    <mc:AlternateContent xmlns:mc="http://schemas.openxmlformats.org/markup-compatibility/2006">
      <mc:Choice Requires="x14">
        <control shapeId="1128" r:id="rId8" name="OptionButton30">
          <controlPr defaultSize="0" autoLine="0" linkedCell="BF52" r:id="rId9">
            <anchor moveWithCells="1" sizeWithCells="1">
              <from>
                <xdr:col>6</xdr:col>
                <xdr:colOff>28575</xdr:colOff>
                <xdr:row>51</xdr:row>
                <xdr:rowOff>28575</xdr:rowOff>
              </from>
              <to>
                <xdr:col>11</xdr:col>
                <xdr:colOff>123825</xdr:colOff>
                <xdr:row>52</xdr:row>
                <xdr:rowOff>0</xdr:rowOff>
              </to>
            </anchor>
          </controlPr>
        </control>
      </mc:Choice>
      <mc:Fallback>
        <control shapeId="1128" r:id="rId8" name="OptionButton30"/>
      </mc:Fallback>
    </mc:AlternateContent>
    <mc:AlternateContent xmlns:mc="http://schemas.openxmlformats.org/markup-compatibility/2006">
      <mc:Choice Requires="x14">
        <control shapeId="1124" r:id="rId10" name="OptionButton29">
          <controlPr defaultSize="0" autoLine="0" linkedCell="BG51" r:id="rId11">
            <anchor moveWithCells="1" sizeWithCells="1">
              <from>
                <xdr:col>12</xdr:col>
                <xdr:colOff>28575</xdr:colOff>
                <xdr:row>50</xdr:row>
                <xdr:rowOff>28575</xdr:rowOff>
              </from>
              <to>
                <xdr:col>17</xdr:col>
                <xdr:colOff>123825</xdr:colOff>
                <xdr:row>51</xdr:row>
                <xdr:rowOff>0</xdr:rowOff>
              </to>
            </anchor>
          </controlPr>
        </control>
      </mc:Choice>
      <mc:Fallback>
        <control shapeId="1124" r:id="rId10" name="OptionButton29"/>
      </mc:Fallback>
    </mc:AlternateContent>
    <mc:AlternateContent xmlns:mc="http://schemas.openxmlformats.org/markup-compatibility/2006">
      <mc:Choice Requires="x14">
        <control shapeId="1123" r:id="rId12" name="OptionButton28">
          <controlPr defaultSize="0" autoLine="0" linkedCell="BF51" r:id="rId13">
            <anchor moveWithCells="1" sizeWithCells="1">
              <from>
                <xdr:col>6</xdr:col>
                <xdr:colOff>28575</xdr:colOff>
                <xdr:row>50</xdr:row>
                <xdr:rowOff>28575</xdr:rowOff>
              </from>
              <to>
                <xdr:col>11</xdr:col>
                <xdr:colOff>123825</xdr:colOff>
                <xdr:row>51</xdr:row>
                <xdr:rowOff>0</xdr:rowOff>
              </to>
            </anchor>
          </controlPr>
        </control>
      </mc:Choice>
      <mc:Fallback>
        <control shapeId="1123" r:id="rId12" name="OptionButton28"/>
      </mc:Fallback>
    </mc:AlternateContent>
    <mc:AlternateContent xmlns:mc="http://schemas.openxmlformats.org/markup-compatibility/2006">
      <mc:Choice Requires="x14">
        <control shapeId="1122" r:id="rId14" name="OptionButton27">
          <controlPr defaultSize="0" autoLine="0" r:id="rId15">
            <anchor moveWithCells="1" sizeWithCells="1">
              <from>
                <xdr:col>34</xdr:col>
                <xdr:colOff>28575</xdr:colOff>
                <xdr:row>30</xdr:row>
                <xdr:rowOff>28575</xdr:rowOff>
              </from>
              <to>
                <xdr:col>38</xdr:col>
                <xdr:colOff>171450</xdr:colOff>
                <xdr:row>30</xdr:row>
                <xdr:rowOff>219075</xdr:rowOff>
              </to>
            </anchor>
          </controlPr>
        </control>
      </mc:Choice>
      <mc:Fallback>
        <control shapeId="1122" r:id="rId14" name="OptionButton27"/>
      </mc:Fallback>
    </mc:AlternateContent>
    <mc:AlternateContent xmlns:mc="http://schemas.openxmlformats.org/markup-compatibility/2006">
      <mc:Choice Requires="x14">
        <control shapeId="1042" r:id="rId16" name="OptionButton8">
          <controlPr defaultSize="0" autoLine="0" autoPict="0" r:id="rId17">
            <anchor moveWithCells="1" sizeWithCells="1">
              <from>
                <xdr:col>31</xdr:col>
                <xdr:colOff>85725</xdr:colOff>
                <xdr:row>21</xdr:row>
                <xdr:rowOff>28575</xdr:rowOff>
              </from>
              <to>
                <xdr:col>37</xdr:col>
                <xdr:colOff>9525</xdr:colOff>
                <xdr:row>21</xdr:row>
                <xdr:rowOff>228600</xdr:rowOff>
              </to>
            </anchor>
          </controlPr>
        </control>
      </mc:Choice>
      <mc:Fallback>
        <control shapeId="1042" r:id="rId16" name="OptionButton8"/>
      </mc:Fallback>
    </mc:AlternateContent>
    <mc:AlternateContent xmlns:mc="http://schemas.openxmlformats.org/markup-compatibility/2006">
      <mc:Choice Requires="x14">
        <control shapeId="1046" r:id="rId18" name="OptionButton1">
          <controlPr defaultSize="0" autoFill="0" autoLine="0" r:id="rId19">
            <anchor moveWithCells="1" sizeWithCells="1">
              <from>
                <xdr:col>26</xdr:col>
                <xdr:colOff>28575</xdr:colOff>
                <xdr:row>13</xdr:row>
                <xdr:rowOff>19050</xdr:rowOff>
              </from>
              <to>
                <xdr:col>27</xdr:col>
                <xdr:colOff>161925</xdr:colOff>
                <xdr:row>14</xdr:row>
                <xdr:rowOff>0</xdr:rowOff>
              </to>
            </anchor>
          </controlPr>
        </control>
      </mc:Choice>
      <mc:Fallback>
        <control shapeId="1046" r:id="rId18" name="OptionButton1"/>
      </mc:Fallback>
    </mc:AlternateContent>
    <mc:AlternateContent xmlns:mc="http://schemas.openxmlformats.org/markup-compatibility/2006">
      <mc:Choice Requires="x14">
        <control shapeId="1047" r:id="rId20" name="OptionButton2">
          <controlPr defaultSize="0" autoLine="0" r:id="rId21">
            <anchor moveWithCells="1" sizeWithCells="1">
              <from>
                <xdr:col>26</xdr:col>
                <xdr:colOff>28575</xdr:colOff>
                <xdr:row>14</xdr:row>
                <xdr:rowOff>19050</xdr:rowOff>
              </from>
              <to>
                <xdr:col>27</xdr:col>
                <xdr:colOff>161925</xdr:colOff>
                <xdr:row>15</xdr:row>
                <xdr:rowOff>0</xdr:rowOff>
              </to>
            </anchor>
          </controlPr>
        </control>
      </mc:Choice>
      <mc:Fallback>
        <control shapeId="1047" r:id="rId20" name="OptionButton2"/>
      </mc:Fallback>
    </mc:AlternateContent>
    <mc:AlternateContent xmlns:mc="http://schemas.openxmlformats.org/markup-compatibility/2006">
      <mc:Choice Requires="x14">
        <control shapeId="1048" r:id="rId22" name="OptionButton3">
          <controlPr defaultSize="0" autoLine="0" r:id="rId21">
            <anchor moveWithCells="1" sizeWithCells="1">
              <from>
                <xdr:col>26</xdr:col>
                <xdr:colOff>28575</xdr:colOff>
                <xdr:row>15</xdr:row>
                <xdr:rowOff>19050</xdr:rowOff>
              </from>
              <to>
                <xdr:col>27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048" r:id="rId22" name="OptionButton3"/>
      </mc:Fallback>
    </mc:AlternateContent>
    <mc:AlternateContent xmlns:mc="http://schemas.openxmlformats.org/markup-compatibility/2006">
      <mc:Choice Requires="x14">
        <control shapeId="1049" r:id="rId23" name="OptionButton6">
          <controlPr defaultSize="0" autoLine="0" r:id="rId24">
            <anchor moveWithCells="1" sizeWithCells="1">
              <from>
                <xdr:col>6</xdr:col>
                <xdr:colOff>28575</xdr:colOff>
                <xdr:row>21</xdr:row>
                <xdr:rowOff>28575</xdr:rowOff>
              </from>
              <to>
                <xdr:col>11</xdr:col>
                <xdr:colOff>123825</xdr:colOff>
                <xdr:row>21</xdr:row>
                <xdr:rowOff>228600</xdr:rowOff>
              </to>
            </anchor>
          </controlPr>
        </control>
      </mc:Choice>
      <mc:Fallback>
        <control shapeId="1049" r:id="rId23" name="OptionButton6"/>
      </mc:Fallback>
    </mc:AlternateContent>
    <mc:AlternateContent xmlns:mc="http://schemas.openxmlformats.org/markup-compatibility/2006">
      <mc:Choice Requires="x14">
        <control shapeId="1051" r:id="rId25" name="OptionButton7">
          <controlPr defaultSize="0" autoLine="0" r:id="rId26">
            <anchor moveWithCells="1" sizeWithCells="1">
              <from>
                <xdr:col>12</xdr:col>
                <xdr:colOff>19050</xdr:colOff>
                <xdr:row>21</xdr:row>
                <xdr:rowOff>38100</xdr:rowOff>
              </from>
              <to>
                <xdr:col>17</xdr:col>
                <xdr:colOff>123825</xdr:colOff>
                <xdr:row>22</xdr:row>
                <xdr:rowOff>0</xdr:rowOff>
              </to>
            </anchor>
          </controlPr>
        </control>
      </mc:Choice>
      <mc:Fallback>
        <control shapeId="1051" r:id="rId25" name="OptionButton7"/>
      </mc:Fallback>
    </mc:AlternateContent>
    <mc:AlternateContent xmlns:mc="http://schemas.openxmlformats.org/markup-compatibility/2006">
      <mc:Choice Requires="x14">
        <control shapeId="1054" r:id="rId27" name="OptionButton4">
          <controlPr defaultSize="0" autoLine="0" r:id="rId28">
            <anchor moveWithCells="1" sizeWithCells="1">
              <from>
                <xdr:col>19</xdr:col>
                <xdr:colOff>66675</xdr:colOff>
                <xdr:row>21</xdr:row>
                <xdr:rowOff>19050</xdr:rowOff>
              </from>
              <to>
                <xdr:col>24</xdr:col>
                <xdr:colOff>161925</xdr:colOff>
                <xdr:row>21</xdr:row>
                <xdr:rowOff>219075</xdr:rowOff>
              </to>
            </anchor>
          </controlPr>
        </control>
      </mc:Choice>
      <mc:Fallback>
        <control shapeId="1054" r:id="rId27" name="OptionButton4"/>
      </mc:Fallback>
    </mc:AlternateContent>
    <mc:AlternateContent xmlns:mc="http://schemas.openxmlformats.org/markup-compatibility/2006">
      <mc:Choice Requires="x14">
        <control shapeId="1055" r:id="rId29" name="OptionButton5">
          <controlPr defaultSize="0" autoLine="0" r:id="rId30">
            <anchor moveWithCells="1" sizeWithCells="1">
              <from>
                <xdr:col>25</xdr:col>
                <xdr:colOff>38100</xdr:colOff>
                <xdr:row>21</xdr:row>
                <xdr:rowOff>19050</xdr:rowOff>
              </from>
              <to>
                <xdr:col>30</xdr:col>
                <xdr:colOff>133350</xdr:colOff>
                <xdr:row>21</xdr:row>
                <xdr:rowOff>219075</xdr:rowOff>
              </to>
            </anchor>
          </controlPr>
        </control>
      </mc:Choice>
      <mc:Fallback>
        <control shapeId="1055" r:id="rId29" name="OptionButton5"/>
      </mc:Fallback>
    </mc:AlternateContent>
    <mc:AlternateContent xmlns:mc="http://schemas.openxmlformats.org/markup-compatibility/2006">
      <mc:Choice Requires="x14">
        <control shapeId="1066" r:id="rId31" name="OptionButton9">
          <controlPr defaultSize="0" autoLine="0" linkedCell="BF38" r:id="rId32">
            <anchor moveWithCells="1" sizeWithCells="1">
              <from>
                <xdr:col>6</xdr:col>
                <xdr:colOff>28575</xdr:colOff>
                <xdr:row>37</xdr:row>
                <xdr:rowOff>28575</xdr:rowOff>
              </from>
              <to>
                <xdr:col>11</xdr:col>
                <xdr:colOff>123825</xdr:colOff>
                <xdr:row>37</xdr:row>
                <xdr:rowOff>228600</xdr:rowOff>
              </to>
            </anchor>
          </controlPr>
        </control>
      </mc:Choice>
      <mc:Fallback>
        <control shapeId="1066" r:id="rId31" name="OptionButton9"/>
      </mc:Fallback>
    </mc:AlternateContent>
    <mc:AlternateContent xmlns:mc="http://schemas.openxmlformats.org/markup-compatibility/2006">
      <mc:Choice Requires="x14">
        <control shapeId="1072" r:id="rId33" name="OptionButton10">
          <controlPr defaultSize="0" autoLine="0" linkedCell="BG38" r:id="rId34">
            <anchor moveWithCells="1" sizeWithCells="1">
              <from>
                <xdr:col>12</xdr:col>
                <xdr:colOff>28575</xdr:colOff>
                <xdr:row>37</xdr:row>
                <xdr:rowOff>28575</xdr:rowOff>
              </from>
              <to>
                <xdr:col>17</xdr:col>
                <xdr:colOff>123825</xdr:colOff>
                <xdr:row>37</xdr:row>
                <xdr:rowOff>228600</xdr:rowOff>
              </to>
            </anchor>
          </controlPr>
        </control>
      </mc:Choice>
      <mc:Fallback>
        <control shapeId="1072" r:id="rId33" name="OptionButton10"/>
      </mc:Fallback>
    </mc:AlternateContent>
    <mc:AlternateContent xmlns:mc="http://schemas.openxmlformats.org/markup-compatibility/2006">
      <mc:Choice Requires="x14">
        <control shapeId="1073" r:id="rId35" name="OptionButton11">
          <controlPr defaultSize="0" autoLine="0" linkedCell="BH38" r:id="rId36">
            <anchor moveWithCells="1" sizeWithCells="1">
              <from>
                <xdr:col>18</xdr:col>
                <xdr:colOff>28575</xdr:colOff>
                <xdr:row>37</xdr:row>
                <xdr:rowOff>28575</xdr:rowOff>
              </from>
              <to>
                <xdr:col>28</xdr:col>
                <xdr:colOff>161925</xdr:colOff>
                <xdr:row>37</xdr:row>
                <xdr:rowOff>228600</xdr:rowOff>
              </to>
            </anchor>
          </controlPr>
        </control>
      </mc:Choice>
      <mc:Fallback>
        <control shapeId="1073" r:id="rId35" name="OptionButton11"/>
      </mc:Fallback>
    </mc:AlternateContent>
    <mc:AlternateContent xmlns:mc="http://schemas.openxmlformats.org/markup-compatibility/2006">
      <mc:Choice Requires="x14">
        <control shapeId="1074" r:id="rId37" name="OptionButton12">
          <controlPr defaultSize="0" autoLine="0" autoPict="0" linkedCell="BF39" r:id="rId38">
            <anchor moveWithCells="1" sizeWithCells="1">
              <from>
                <xdr:col>6</xdr:col>
                <xdr:colOff>28575</xdr:colOff>
                <xdr:row>38</xdr:row>
                <xdr:rowOff>28575</xdr:rowOff>
              </from>
              <to>
                <xdr:col>11</xdr:col>
                <xdr:colOff>123825</xdr:colOff>
                <xdr:row>39</xdr:row>
                <xdr:rowOff>209550</xdr:rowOff>
              </to>
            </anchor>
          </controlPr>
        </control>
      </mc:Choice>
      <mc:Fallback>
        <control shapeId="1074" r:id="rId37" name="OptionButton12"/>
      </mc:Fallback>
    </mc:AlternateContent>
    <mc:AlternateContent xmlns:mc="http://schemas.openxmlformats.org/markup-compatibility/2006">
      <mc:Choice Requires="x14">
        <control shapeId="1075" r:id="rId39" name="OptionButton13">
          <controlPr defaultSize="0" autoLine="0" autoPict="0" linkedCell="BG39" r:id="rId40">
            <anchor moveWithCells="1" sizeWithCells="1">
              <from>
                <xdr:col>12</xdr:col>
                <xdr:colOff>28575</xdr:colOff>
                <xdr:row>38</xdr:row>
                <xdr:rowOff>28575</xdr:rowOff>
              </from>
              <to>
                <xdr:col>17</xdr:col>
                <xdr:colOff>123825</xdr:colOff>
                <xdr:row>39</xdr:row>
                <xdr:rowOff>209550</xdr:rowOff>
              </to>
            </anchor>
          </controlPr>
        </control>
      </mc:Choice>
      <mc:Fallback>
        <control shapeId="1075" r:id="rId39" name="OptionButton13"/>
      </mc:Fallback>
    </mc:AlternateContent>
    <mc:AlternateContent xmlns:mc="http://schemas.openxmlformats.org/markup-compatibility/2006">
      <mc:Choice Requires="x14">
        <control shapeId="1076" r:id="rId41" name="OptionButton14">
          <controlPr defaultSize="0" autoLine="0" autoPict="0" linkedCell="BH39" r:id="rId42">
            <anchor moveWithCells="1" sizeWithCells="1">
              <from>
                <xdr:col>18</xdr:col>
                <xdr:colOff>28575</xdr:colOff>
                <xdr:row>38</xdr:row>
                <xdr:rowOff>28575</xdr:rowOff>
              </from>
              <to>
                <xdr:col>23</xdr:col>
                <xdr:colOff>123825</xdr:colOff>
                <xdr:row>39</xdr:row>
                <xdr:rowOff>209550</xdr:rowOff>
              </to>
            </anchor>
          </controlPr>
        </control>
      </mc:Choice>
      <mc:Fallback>
        <control shapeId="1076" r:id="rId41" name="OptionButton14"/>
      </mc:Fallback>
    </mc:AlternateContent>
    <mc:AlternateContent xmlns:mc="http://schemas.openxmlformats.org/markup-compatibility/2006">
      <mc:Choice Requires="x14">
        <control shapeId="1077" r:id="rId43" name="OptionButton15">
          <controlPr defaultSize="0" autoLine="0" autoPict="0" linkedCell="BI39" r:id="rId44">
            <anchor moveWithCells="1" sizeWithCells="1">
              <from>
                <xdr:col>24</xdr:col>
                <xdr:colOff>28575</xdr:colOff>
                <xdr:row>38</xdr:row>
                <xdr:rowOff>28575</xdr:rowOff>
              </from>
              <to>
                <xdr:col>29</xdr:col>
                <xdr:colOff>123825</xdr:colOff>
                <xdr:row>39</xdr:row>
                <xdr:rowOff>209550</xdr:rowOff>
              </to>
            </anchor>
          </controlPr>
        </control>
      </mc:Choice>
      <mc:Fallback>
        <control shapeId="1077" r:id="rId43" name="OptionButton15"/>
      </mc:Fallback>
    </mc:AlternateContent>
    <mc:AlternateContent xmlns:mc="http://schemas.openxmlformats.org/markup-compatibility/2006">
      <mc:Choice Requires="x14">
        <control shapeId="1081" r:id="rId45" name="OptionButton16">
          <controlPr defaultSize="0" autoLine="0" autoPict="0" linkedCell="BF41" r:id="rId46">
            <anchor moveWithCells="1" sizeWithCells="1">
              <from>
                <xdr:col>6</xdr:col>
                <xdr:colOff>28575</xdr:colOff>
                <xdr:row>40</xdr:row>
                <xdr:rowOff>28575</xdr:rowOff>
              </from>
              <to>
                <xdr:col>11</xdr:col>
                <xdr:colOff>123825</xdr:colOff>
                <xdr:row>41</xdr:row>
                <xdr:rowOff>209550</xdr:rowOff>
              </to>
            </anchor>
          </controlPr>
        </control>
      </mc:Choice>
      <mc:Fallback>
        <control shapeId="1081" r:id="rId45" name="OptionButton16"/>
      </mc:Fallback>
    </mc:AlternateContent>
    <mc:AlternateContent xmlns:mc="http://schemas.openxmlformats.org/markup-compatibility/2006">
      <mc:Choice Requires="x14">
        <control shapeId="1086" r:id="rId47" name="OptionButton17">
          <controlPr defaultSize="0" autoLine="0" autoPict="0" linkedCell="BF43" r:id="rId48">
            <anchor moveWithCells="1" sizeWithCells="1">
              <from>
                <xdr:col>6</xdr:col>
                <xdr:colOff>28575</xdr:colOff>
                <xdr:row>42</xdr:row>
                <xdr:rowOff>28575</xdr:rowOff>
              </from>
              <to>
                <xdr:col>13</xdr:col>
                <xdr:colOff>142875</xdr:colOff>
                <xdr:row>43</xdr:row>
                <xdr:rowOff>209550</xdr:rowOff>
              </to>
            </anchor>
          </controlPr>
        </control>
      </mc:Choice>
      <mc:Fallback>
        <control shapeId="1086" r:id="rId47" name="OptionButton17"/>
      </mc:Fallback>
    </mc:AlternateContent>
    <mc:AlternateContent xmlns:mc="http://schemas.openxmlformats.org/markup-compatibility/2006">
      <mc:Choice Requires="x14">
        <control shapeId="1091" r:id="rId49" name="OptionButton19">
          <controlPr defaultSize="0" autoLine="0" autoPict="0" linkedCell="BG43" r:id="rId50">
            <anchor moveWithCells="1" sizeWithCells="1">
              <from>
                <xdr:col>14</xdr:col>
                <xdr:colOff>28575</xdr:colOff>
                <xdr:row>42</xdr:row>
                <xdr:rowOff>28575</xdr:rowOff>
              </from>
              <to>
                <xdr:col>21</xdr:col>
                <xdr:colOff>142875</xdr:colOff>
                <xdr:row>43</xdr:row>
                <xdr:rowOff>209550</xdr:rowOff>
              </to>
            </anchor>
          </controlPr>
        </control>
      </mc:Choice>
      <mc:Fallback>
        <control shapeId="1091" r:id="rId49" name="OptionButton19"/>
      </mc:Fallback>
    </mc:AlternateContent>
    <mc:AlternateContent xmlns:mc="http://schemas.openxmlformats.org/markup-compatibility/2006">
      <mc:Choice Requires="x14">
        <control shapeId="1096" r:id="rId51" name="OptionButton18">
          <controlPr defaultSize="0" autoLine="0" r:id="rId52">
            <anchor moveWithCells="1" sizeWithCells="1">
              <from>
                <xdr:col>24</xdr:col>
                <xdr:colOff>85725</xdr:colOff>
                <xdr:row>45</xdr:row>
                <xdr:rowOff>9525</xdr:rowOff>
              </from>
              <to>
                <xdr:col>26</xdr:col>
                <xdr:colOff>152400</xdr:colOff>
                <xdr:row>45</xdr:row>
                <xdr:rowOff>190500</xdr:rowOff>
              </to>
            </anchor>
          </controlPr>
        </control>
      </mc:Choice>
      <mc:Fallback>
        <control shapeId="1096" r:id="rId51" name="OptionButton18"/>
      </mc:Fallback>
    </mc:AlternateContent>
    <mc:AlternateContent xmlns:mc="http://schemas.openxmlformats.org/markup-compatibility/2006">
      <mc:Choice Requires="x14">
        <control shapeId="1097" r:id="rId53" name="OptionButton20">
          <controlPr defaultSize="0" autoLine="0" r:id="rId54">
            <anchor moveWithCells="1" sizeWithCells="1">
              <from>
                <xdr:col>27</xdr:col>
                <xdr:colOff>19050</xdr:colOff>
                <xdr:row>45</xdr:row>
                <xdr:rowOff>9525</xdr:rowOff>
              </from>
              <to>
                <xdr:col>29</xdr:col>
                <xdr:colOff>85725</xdr:colOff>
                <xdr:row>45</xdr:row>
                <xdr:rowOff>190500</xdr:rowOff>
              </to>
            </anchor>
          </controlPr>
        </control>
      </mc:Choice>
      <mc:Fallback>
        <control shapeId="1097" r:id="rId53" name="OptionButton20"/>
      </mc:Fallback>
    </mc:AlternateContent>
    <mc:AlternateContent xmlns:mc="http://schemas.openxmlformats.org/markup-compatibility/2006">
      <mc:Choice Requires="x14">
        <control shapeId="1104" r:id="rId55" name="OptionButton22">
          <controlPr defaultSize="0" autoLine="0" autoPict="0" r:id="rId56">
            <anchor moveWithCells="1" sizeWithCells="1">
              <from>
                <xdr:col>6</xdr:col>
                <xdr:colOff>28575</xdr:colOff>
                <xdr:row>30</xdr:row>
                <xdr:rowOff>28575</xdr:rowOff>
              </from>
              <to>
                <xdr:col>10</xdr:col>
                <xdr:colOff>0</xdr:colOff>
                <xdr:row>30</xdr:row>
                <xdr:rowOff>219075</xdr:rowOff>
              </to>
            </anchor>
          </controlPr>
        </control>
      </mc:Choice>
      <mc:Fallback>
        <control shapeId="1104" r:id="rId55" name="OptionButton22"/>
      </mc:Fallback>
    </mc:AlternateContent>
    <mc:AlternateContent xmlns:mc="http://schemas.openxmlformats.org/markup-compatibility/2006">
      <mc:Choice Requires="x14">
        <control shapeId="1109" r:id="rId57" name="OptionButton21">
          <controlPr defaultSize="0" autoLine="0" r:id="rId58">
            <anchor moveWithCells="1" sizeWithCells="1">
              <from>
                <xdr:col>6</xdr:col>
                <xdr:colOff>28575</xdr:colOff>
                <xdr:row>31</xdr:row>
                <xdr:rowOff>28575</xdr:rowOff>
              </from>
              <to>
                <xdr:col>10</xdr:col>
                <xdr:colOff>0</xdr:colOff>
                <xdr:row>31</xdr:row>
                <xdr:rowOff>219075</xdr:rowOff>
              </to>
            </anchor>
          </controlPr>
        </control>
      </mc:Choice>
      <mc:Fallback>
        <control shapeId="1109" r:id="rId57" name="OptionButton21"/>
      </mc:Fallback>
    </mc:AlternateContent>
    <mc:AlternateContent xmlns:mc="http://schemas.openxmlformats.org/markup-compatibility/2006">
      <mc:Choice Requires="x14">
        <control shapeId="1110" r:id="rId59" name="OptionButton23">
          <controlPr defaultSize="0" autoLine="0" r:id="rId60">
            <anchor moveWithCells="1" sizeWithCells="1">
              <from>
                <xdr:col>6</xdr:col>
                <xdr:colOff>28575</xdr:colOff>
                <xdr:row>32</xdr:row>
                <xdr:rowOff>28575</xdr:rowOff>
              </from>
              <to>
                <xdr:col>10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110" r:id="rId59" name="OptionButton23"/>
      </mc:Fallback>
    </mc:AlternateContent>
    <mc:AlternateContent xmlns:mc="http://schemas.openxmlformats.org/markup-compatibility/2006">
      <mc:Choice Requires="x14">
        <control shapeId="1111" r:id="rId61" name="OptionButton24">
          <controlPr defaultSize="0" autoLine="0" r:id="rId62">
            <anchor moveWithCells="1" sizeWithCells="1">
              <from>
                <xdr:col>19</xdr:col>
                <xdr:colOff>28575</xdr:colOff>
                <xdr:row>30</xdr:row>
                <xdr:rowOff>28575</xdr:rowOff>
              </from>
              <to>
                <xdr:col>23</xdr:col>
                <xdr:colOff>171450</xdr:colOff>
                <xdr:row>30</xdr:row>
                <xdr:rowOff>219075</xdr:rowOff>
              </to>
            </anchor>
          </controlPr>
        </control>
      </mc:Choice>
      <mc:Fallback>
        <control shapeId="1111" r:id="rId61" name="OptionButton24"/>
      </mc:Fallback>
    </mc:AlternateContent>
    <mc:AlternateContent xmlns:mc="http://schemas.openxmlformats.org/markup-compatibility/2006">
      <mc:Choice Requires="x14">
        <control shapeId="1120" r:id="rId63" name="OptionButton26">
          <controlPr defaultSize="0" autoLine="0" r:id="rId64">
            <anchor moveWithCells="1" sizeWithCells="1">
              <from>
                <xdr:col>24</xdr:col>
                <xdr:colOff>28575</xdr:colOff>
                <xdr:row>30</xdr:row>
                <xdr:rowOff>28575</xdr:rowOff>
              </from>
              <to>
                <xdr:col>28</xdr:col>
                <xdr:colOff>171450</xdr:colOff>
                <xdr:row>30</xdr:row>
                <xdr:rowOff>219075</xdr:rowOff>
              </to>
            </anchor>
          </controlPr>
        </control>
      </mc:Choice>
      <mc:Fallback>
        <control shapeId="1120" r:id="rId63" name="OptionButton26"/>
      </mc:Fallback>
    </mc:AlternateContent>
    <mc:AlternateContent xmlns:mc="http://schemas.openxmlformats.org/markup-compatibility/2006">
      <mc:Choice Requires="x14">
        <control shapeId="1121" r:id="rId65" name="OptionButton25">
          <controlPr defaultSize="0" autoLine="0" r:id="rId66">
            <anchor moveWithCells="1" sizeWithCells="1">
              <from>
                <xdr:col>29</xdr:col>
                <xdr:colOff>28575</xdr:colOff>
                <xdr:row>30</xdr:row>
                <xdr:rowOff>28575</xdr:rowOff>
              </from>
              <to>
                <xdr:col>33</xdr:col>
                <xdr:colOff>171450</xdr:colOff>
                <xdr:row>30</xdr:row>
                <xdr:rowOff>219075</xdr:rowOff>
              </to>
            </anchor>
          </controlPr>
        </control>
      </mc:Choice>
      <mc:Fallback>
        <control shapeId="1121" r:id="rId65" name="OptionButton2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FE83-9791-47C6-BF13-08D5DF5FF6A8}">
  <sheetPr codeName="Sheet2"/>
  <dimension ref="A1"/>
  <sheetViews>
    <sheetView workbookViewId="0">
      <selection activeCell="M7" sqref="M7"/>
    </sheetView>
  </sheetViews>
  <sheetFormatPr defaultColWidth="3.125"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</dc:creator>
  <cp:lastModifiedBy>i</cp:lastModifiedBy>
  <cp:lastPrinted>2020-12-17T14:42:10Z</cp:lastPrinted>
  <dcterms:created xsi:type="dcterms:W3CDTF">2015-06-05T18:19:34Z</dcterms:created>
  <dcterms:modified xsi:type="dcterms:W3CDTF">2020-12-17T15:05:49Z</dcterms:modified>
</cp:coreProperties>
</file>