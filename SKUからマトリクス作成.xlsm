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n\Desktop\新しいフォルダー\"/>
    </mc:Choice>
  </mc:AlternateContent>
  <xr:revisionPtr revIDLastSave="0" documentId="13_ncr:1_{23F986C0-54BC-4F06-AEEC-92DDD413A30E}" xr6:coauthVersionLast="45" xr6:coauthVersionMax="45" xr10:uidLastSave="{00000000-0000-0000-0000-000000000000}"/>
  <bookViews>
    <workbookView xWindow="-24195" yWindow="720" windowWidth="24180" windowHeight="14295" activeTab="1" xr2:uid="{5B89E01F-95C1-4C58-9DD3-27B70A6AFBC8}"/>
  </bookViews>
  <sheets>
    <sheet name="input" sheetId="8" r:id="rId1"/>
    <sheet name="main" sheetId="4" r:id="rId2"/>
    <sheet name="access" sheetId="5" r:id="rId3"/>
    <sheet name="Sheet1" sheetId="6" r:id="rId4"/>
    <sheet name="楽天" sheetId="7" r:id="rId5"/>
    <sheet name="楽天 (2)" sheetId="9" r:id="rId6"/>
  </sheets>
  <functionGroups builtInGroupCount="19"/>
  <definedNames>
    <definedName name="商品マスター_4972885">input!$A$1:$BF$16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" i="4" l="1"/>
  <c r="G9" i="4"/>
  <c r="G8" i="4"/>
  <c r="G7" i="4"/>
</calcChain>
</file>

<file path=xl/sharedStrings.xml><?xml version="1.0" encoding="utf-8"?>
<sst xmlns="http://schemas.openxmlformats.org/spreadsheetml/2006/main" count="623" uniqueCount="213">
  <si>
    <t>対象SKU</t>
    <rPh sb="0" eb="2">
      <t>タイショウ</t>
    </rPh>
    <phoneticPr fontId="2"/>
  </si>
  <si>
    <t>価格(パーツ含)</t>
    <rPh sb="0" eb="2">
      <t>カカク</t>
    </rPh>
    <rPh sb="6" eb="7">
      <t>フク</t>
    </rPh>
    <phoneticPr fontId="2"/>
  </si>
  <si>
    <t>ファイル名</t>
    <rPh sb="4" eb="5">
      <t>メイ</t>
    </rPh>
    <phoneticPr fontId="2"/>
  </si>
  <si>
    <t>ばね棒/パイプ</t>
    <rPh sb="2" eb="3">
      <t>ボウ</t>
    </rPh>
    <phoneticPr fontId="2"/>
  </si>
  <si>
    <t>ネクストエンジン1</t>
    <phoneticPr fontId="2"/>
  </si>
  <si>
    <t>ネクストエンジン2</t>
    <phoneticPr fontId="2"/>
  </si>
  <si>
    <t>セットSKUリスト</t>
    <phoneticPr fontId="2"/>
  </si>
  <si>
    <t>access用データ</t>
    <rPh sb="6" eb="7">
      <t>ヨウ</t>
    </rPh>
    <phoneticPr fontId="2"/>
  </si>
  <si>
    <t>セット商品コード</t>
  </si>
  <si>
    <t>セット名</t>
  </si>
  <si>
    <t>商品コード1</t>
  </si>
  <si>
    <t>商品コード2</t>
  </si>
  <si>
    <t>商品コード3</t>
  </si>
  <si>
    <t>商品コード4</t>
  </si>
  <si>
    <t>商品コード5</t>
  </si>
  <si>
    <t>価格</t>
  </si>
  <si>
    <t>+900</t>
    <phoneticPr fontId="2"/>
  </si>
  <si>
    <t>イタリアンレザー</t>
    <phoneticPr fontId="2"/>
  </si>
  <si>
    <t>X5439B71-20mm-019</t>
  </si>
  <si>
    <t>X5439B71-22mm-019</t>
  </si>
  <si>
    <t>X5439B71-18mm-041</t>
  </si>
  <si>
    <t>X5439B71-20mm-041</t>
  </si>
  <si>
    <t>X5439B71-22mm-041</t>
  </si>
  <si>
    <t>X5439B71-18mm-046</t>
  </si>
  <si>
    <t>X5439B71-20mm-046</t>
  </si>
  <si>
    <t>X5439B71-22mm-046</t>
  </si>
  <si>
    <t>X5439B71-18mm-073</t>
  </si>
  <si>
    <t>X5439B71-20mm-073</t>
  </si>
  <si>
    <t>X5439B71-22mm-073</t>
  </si>
  <si>
    <t>X5439B71-18mm-081</t>
  </si>
  <si>
    <t>X5439B71-20mm-081</t>
  </si>
  <si>
    <t>X5439B71-22mm-081</t>
  </si>
  <si>
    <t>X5439B71-18mm-019</t>
    <phoneticPr fontId="2"/>
  </si>
  <si>
    <t>マトリクス作成</t>
    <rPh sb="5" eb="7">
      <t>サクセイ</t>
    </rPh>
    <phoneticPr fontId="2"/>
  </si>
  <si>
    <t>X5439B71-18mm-019</t>
  </si>
  <si>
    <t>項目選択肢用コントロールカラム</t>
  </si>
  <si>
    <t>商品管理番号（商品URL）</t>
  </si>
  <si>
    <t>選択肢タイプ</t>
  </si>
  <si>
    <t>項目選択肢項目名</t>
  </si>
  <si>
    <t>項目選択肢</t>
  </si>
  <si>
    <t>項目選択肢別在庫用横軸選択肢</t>
  </si>
  <si>
    <t>項目選択肢別在庫用横軸選択肢子番号</t>
  </si>
  <si>
    <t>項目選択肢別在庫用縦軸選択肢</t>
  </si>
  <si>
    <t>項目選択肢別在庫用縦軸選択肢子番号</t>
  </si>
  <si>
    <t>項目選択肢別在庫用取り寄せ可能表示</t>
  </si>
  <si>
    <t>項目選択肢別在庫用在庫数</t>
  </si>
  <si>
    <t>在庫戻しフラグ</t>
  </si>
  <si>
    <t>在庫切れ時の注文受付</t>
  </si>
  <si>
    <t>在庫あり時納期管理番号</t>
  </si>
  <si>
    <t>在庫切れ時納期管理番号</t>
  </si>
  <si>
    <t>タグID</t>
  </si>
  <si>
    <t>画像URL</t>
  </si>
  <si>
    <t>項目選択肢選択必須</t>
  </si>
  <si>
    <t>x5439b71</t>
  </si>
  <si>
    <t>i</t>
  </si>
  <si>
    <t>18mm</t>
  </si>
  <si>
    <t>-18mm</t>
  </si>
  <si>
    <t>Black(019)</t>
  </si>
  <si>
    <t>-019</t>
  </si>
  <si>
    <t>x5439b71</t>
    <phoneticPr fontId="8"/>
  </si>
  <si>
    <t>Brown(041)</t>
  </si>
  <si>
    <t>-041</t>
  </si>
  <si>
    <t>Tan(046)</t>
  </si>
  <si>
    <t>-046</t>
  </si>
  <si>
    <t>Green(073)</t>
  </si>
  <si>
    <t>-073</t>
  </si>
  <si>
    <t>Burgundy(081)</t>
  </si>
  <si>
    <t>-081</t>
  </si>
  <si>
    <t>20mm</t>
  </si>
  <si>
    <t>-20mm</t>
  </si>
  <si>
    <t>22mm</t>
  </si>
  <si>
    <t>-22mm</t>
  </si>
  <si>
    <t>u</t>
    <phoneticPr fontId="2"/>
  </si>
  <si>
    <t>0</t>
    <phoneticPr fontId="2"/>
  </si>
  <si>
    <t>商品ID</t>
  </si>
  <si>
    <t>商品名</t>
  </si>
  <si>
    <t>ブランドID</t>
  </si>
  <si>
    <t>商品掛率分類ID</t>
  </si>
  <si>
    <t>Code１</t>
  </si>
  <si>
    <t>Code２</t>
  </si>
  <si>
    <t>Gender</t>
  </si>
  <si>
    <t>Model</t>
  </si>
  <si>
    <t>CCode</t>
  </si>
  <si>
    <t>Color</t>
  </si>
  <si>
    <t>サイズ</t>
  </si>
  <si>
    <t>尾錠</t>
  </si>
  <si>
    <t>備考</t>
  </si>
  <si>
    <t>単位</t>
  </si>
  <si>
    <t>定価</t>
  </si>
  <si>
    <t>月初在庫数</t>
  </si>
  <si>
    <t>当月入庫数</t>
  </si>
  <si>
    <t>当月出庫数</t>
  </si>
  <si>
    <t>SHOP価格</t>
  </si>
  <si>
    <t>長野価格</t>
  </si>
  <si>
    <t>宝石価格</t>
  </si>
  <si>
    <t>ぜん価格</t>
  </si>
  <si>
    <t>業者特価1</t>
  </si>
  <si>
    <t>業者特価2</t>
  </si>
  <si>
    <t>業者特価3</t>
  </si>
  <si>
    <t>業者特価4</t>
  </si>
  <si>
    <t>業者特価5</t>
  </si>
  <si>
    <t>業者内部コード1</t>
  </si>
  <si>
    <t>業者内部コード2</t>
  </si>
  <si>
    <t>業者内部コード3</t>
  </si>
  <si>
    <t>業者内部コード4</t>
  </si>
  <si>
    <t>業者内部コード5</t>
  </si>
  <si>
    <t>現在個数</t>
  </si>
  <si>
    <t>現引当数</t>
  </si>
  <si>
    <t>委託販売先在庫数</t>
  </si>
  <si>
    <t>最終仕入日</t>
  </si>
  <si>
    <t>最終仕入数量</t>
  </si>
  <si>
    <t>最終納品日</t>
  </si>
  <si>
    <t>最終納品数量</t>
  </si>
  <si>
    <t>最終販売単価</t>
  </si>
  <si>
    <t>生産終了F</t>
  </si>
  <si>
    <t>仕入先ID</t>
  </si>
  <si>
    <t>仕入先商品ID</t>
  </si>
  <si>
    <t>作成日</t>
  </si>
  <si>
    <t>作成者</t>
  </si>
  <si>
    <t>変更日</t>
  </si>
  <si>
    <t>変更者</t>
  </si>
  <si>
    <t>JAN</t>
  </si>
  <si>
    <t>REF</t>
  </si>
  <si>
    <t>削除F</t>
  </si>
  <si>
    <t>通貨</t>
  </si>
  <si>
    <t>仕入単価</t>
  </si>
  <si>
    <t>ネクストエンジン商品コード</t>
  </si>
  <si>
    <t>商品ポイント係数</t>
  </si>
  <si>
    <t>ネクストエンジン商品コード2</t>
  </si>
  <si>
    <t>倉庫在庫数</t>
  </si>
  <si>
    <t>カタログ掲載F</t>
  </si>
  <si>
    <t>インターネット掲載F</t>
  </si>
  <si>
    <t>X5439 B71 019 018M</t>
  </si>
  <si>
    <t>EL GRECO</t>
  </si>
  <si>
    <t>5439B71</t>
  </si>
  <si>
    <t>ｶｰﾌ</t>
  </si>
  <si>
    <t>X</t>
  </si>
  <si>
    <t>019</t>
  </si>
  <si>
    <t>BLACK</t>
  </si>
  <si>
    <t>018</t>
  </si>
  <si>
    <t>016</t>
  </si>
  <si>
    <t>5401016</t>
  </si>
  <si>
    <t>0218571000033</t>
  </si>
  <si>
    <t>0210571000037</t>
  </si>
  <si>
    <t>A01X5439 B71 019 ZZ 018</t>
  </si>
  <si>
    <t>8033288905813</t>
  </si>
  <si>
    <t>EUR</t>
  </si>
  <si>
    <t>X5439 B71 019 020M</t>
  </si>
  <si>
    <t>020</t>
  </si>
  <si>
    <t>5401017</t>
  </si>
  <si>
    <t>A01X5439 B71 019 ZZ 020</t>
  </si>
  <si>
    <t>8033288905820</t>
  </si>
  <si>
    <t>X5439 B71 019 022M</t>
  </si>
  <si>
    <t>022</t>
  </si>
  <si>
    <t>5401018</t>
  </si>
  <si>
    <t>A01X5439 B71 019 ZZ 022</t>
  </si>
  <si>
    <t>8033288905837</t>
  </si>
  <si>
    <t>X5439 B71 041 018M</t>
  </si>
  <si>
    <t>041</t>
  </si>
  <si>
    <t>BROWN</t>
  </si>
  <si>
    <t>5401019</t>
  </si>
  <si>
    <t>A01X5439 B71 041 ZZ 018</t>
  </si>
  <si>
    <t>8033288905844</t>
  </si>
  <si>
    <t>X5439 B71 041 020M</t>
  </si>
  <si>
    <t>5401020</t>
  </si>
  <si>
    <t>A01X5439 B71 041 ZZ 020</t>
  </si>
  <si>
    <t>8033288905851</t>
  </si>
  <si>
    <t>X5439 B71 041 022M</t>
  </si>
  <si>
    <t>5401021</t>
  </si>
  <si>
    <t>A01X5439 B71 041 ZZ 022</t>
  </si>
  <si>
    <t>8033288914907</t>
  </si>
  <si>
    <t>X5439 B71 046 018M</t>
  </si>
  <si>
    <t>046</t>
  </si>
  <si>
    <t>TAN</t>
  </si>
  <si>
    <t>5401022</t>
  </si>
  <si>
    <t>A01X5439 B71 046 ZZ 018</t>
  </si>
  <si>
    <t>8033288905899</t>
  </si>
  <si>
    <t>X5439 B71 046 020M</t>
  </si>
  <si>
    <t>5401023</t>
  </si>
  <si>
    <t>A01X5439 B71 046 ZZ 020</t>
  </si>
  <si>
    <t>8033288905905</t>
  </si>
  <si>
    <t>X5439 B71 046 022M</t>
  </si>
  <si>
    <t>5401024</t>
  </si>
  <si>
    <t>A01X5439 B71 046 ZZ 022</t>
  </si>
  <si>
    <t>8033288905912</t>
  </si>
  <si>
    <t>X5439 B71 073 018M</t>
  </si>
  <si>
    <t>073</t>
  </si>
  <si>
    <t>GREEN</t>
  </si>
  <si>
    <t>5401025</t>
  </si>
  <si>
    <t>A01X5439 B71 073 ZZ 018</t>
  </si>
  <si>
    <t>8033288905868</t>
  </si>
  <si>
    <t>X5439 B71 073 020M</t>
  </si>
  <si>
    <t>5401026</t>
  </si>
  <si>
    <t>A01X5439 B71 073 ZZ 020</t>
  </si>
  <si>
    <t>8033288905875</t>
  </si>
  <si>
    <t>X5439 B71 073 022M</t>
  </si>
  <si>
    <t>5401027</t>
  </si>
  <si>
    <t>A01X5439 B71 073 ZZ 022</t>
  </si>
  <si>
    <t>8033288905882</t>
  </si>
  <si>
    <t>X5439 B71 081 018M</t>
  </si>
  <si>
    <t>081</t>
  </si>
  <si>
    <t>BURGUNDY</t>
  </si>
  <si>
    <t>5401028</t>
  </si>
  <si>
    <t>A01X5439 B71 081 ZZ 018</t>
  </si>
  <si>
    <t>8033288905929</t>
  </si>
  <si>
    <t>X5439 B71 081 020M</t>
  </si>
  <si>
    <t>5401029</t>
  </si>
  <si>
    <t>A01X5439 B71 081 ZZ 020</t>
  </si>
  <si>
    <t>8033288905936</t>
  </si>
  <si>
    <t>X5439 B71 081 022M</t>
  </si>
  <si>
    <t>5401030</t>
  </si>
  <si>
    <t>A01X5439 B71 081 ZZ 022</t>
  </si>
  <si>
    <t>8033288905943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</si>
</sst>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Meiryo UI"/>
      <family val="2"/>
      <charset val="128"/>
    </font>
    <font>
      <sz val="11"/>
      <color theme="1"/>
      <name val="游ゴシック"/>
      <family val="2"/>
      <charset val="128"/>
      <scheme val="minor"/>
    </font>
    <font>
      <sz val="6"/>
      <name val="Meiryo UI"/>
      <family val="2"/>
      <charset val="128"/>
    </font>
    <font>
      <sz val="11"/>
      <color rgb="FF000000"/>
      <name val="Meiryo UI"/>
      <family val="3"/>
      <charset val="128"/>
    </font>
    <font>
      <sz val="11"/>
      <color theme="1"/>
      <name val="Meiryo UI"/>
      <family val="2"/>
      <charset val="128"/>
    </font>
    <font>
      <sz val="8"/>
      <color theme="1"/>
      <name val="Meiryo UI"/>
      <family val="2"/>
      <charset val="128"/>
    </font>
    <font>
      <sz val="9"/>
      <color rgb="FF000000"/>
      <name val="Meiryo UI"/>
      <family val="3"/>
      <charset val="128"/>
    </font>
    <font>
      <sz val="11"/>
      <color theme="1"/>
      <name val="メイリオ"/>
      <family val="2"/>
      <charset val="128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9" fillId="0" borderId="0"/>
  </cellStyleXfs>
  <cellXfs count="38">
    <xf numFmtId="0" fontId="0" fillId="0" borderId="0" xfId="0">
      <alignment vertical="center"/>
    </xf>
    <xf numFmtId="0" fontId="0" fillId="2" borderId="1" xfId="0" applyFill="1" applyBorder="1">
      <alignment vertical="center"/>
    </xf>
    <xf numFmtId="38" fontId="0" fillId="0" borderId="1" xfId="1" applyFont="1" applyBorder="1">
      <alignment vertical="center"/>
    </xf>
    <xf numFmtId="0" fontId="5" fillId="3" borderId="1" xfId="0" applyFont="1" applyFill="1" applyBorder="1">
      <alignment vertical="center"/>
    </xf>
    <xf numFmtId="0" fontId="0" fillId="3" borderId="1" xfId="0" applyFill="1" applyBorder="1">
      <alignment vertical="center"/>
    </xf>
    <xf numFmtId="22" fontId="0" fillId="0" borderId="0" xfId="0" applyNumberFormat="1">
      <alignment vertical="center"/>
    </xf>
    <xf numFmtId="0" fontId="0" fillId="3" borderId="1" xfId="0" applyFill="1" applyBorder="1">
      <alignment vertical="center"/>
    </xf>
    <xf numFmtId="0" fontId="7" fillId="4" borderId="4" xfId="2" applyFill="1" applyBorder="1">
      <alignment vertical="center"/>
    </xf>
    <xf numFmtId="0" fontId="7" fillId="4" borderId="5" xfId="2" applyFill="1" applyBorder="1">
      <alignment vertical="center"/>
    </xf>
    <xf numFmtId="0" fontId="7" fillId="4" borderId="6" xfId="2" applyFill="1" applyBorder="1">
      <alignment vertical="center"/>
    </xf>
    <xf numFmtId="0" fontId="7" fillId="0" borderId="0" xfId="2">
      <alignment vertical="center"/>
    </xf>
    <xf numFmtId="0" fontId="7" fillId="0" borderId="7" xfId="2" applyBorder="1">
      <alignment vertical="center"/>
    </xf>
    <xf numFmtId="0" fontId="7" fillId="0" borderId="8" xfId="2" applyBorder="1">
      <alignment vertical="center"/>
    </xf>
    <xf numFmtId="0" fontId="7" fillId="0" borderId="0" xfId="2" applyBorder="1">
      <alignment vertical="center"/>
    </xf>
    <xf numFmtId="14" fontId="0" fillId="0" borderId="0" xfId="0" applyNumberFormat="1">
      <alignment vertical="center"/>
    </xf>
    <xf numFmtId="49" fontId="0" fillId="0" borderId="0" xfId="0" applyNumberFormat="1" applyAlignment="1">
      <alignment horizontal="right"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0" fontId="1" fillId="0" borderId="0" xfId="3">
      <alignment vertical="center"/>
    </xf>
    <xf numFmtId="49" fontId="1" fillId="0" borderId="0" xfId="3" applyNumberFormat="1">
      <alignment vertical="center"/>
    </xf>
    <xf numFmtId="49" fontId="1" fillId="0" borderId="15" xfId="3" applyNumberFormat="1" applyBorder="1">
      <alignment vertical="center"/>
    </xf>
    <xf numFmtId="49" fontId="1" fillId="5" borderId="10" xfId="3" applyNumberFormat="1" applyFill="1" applyBorder="1">
      <alignment vertical="center"/>
    </xf>
    <xf numFmtId="49" fontId="1" fillId="5" borderId="11" xfId="3" applyNumberFormat="1" applyFill="1" applyBorder="1">
      <alignment vertical="center"/>
    </xf>
    <xf numFmtId="49" fontId="1" fillId="5" borderId="9" xfId="3" applyNumberFormat="1" applyFill="1" applyBorder="1">
      <alignment vertical="center"/>
    </xf>
    <xf numFmtId="49" fontId="1" fillId="6" borderId="0" xfId="3" applyNumberFormat="1" applyFill="1">
      <alignment vertical="center"/>
    </xf>
    <xf numFmtId="49" fontId="1" fillId="6" borderId="15" xfId="3" applyNumberFormat="1" applyFill="1" applyBorder="1">
      <alignment vertical="center"/>
    </xf>
    <xf numFmtId="49" fontId="1" fillId="6" borderId="12" xfId="3" applyNumberFormat="1" applyFill="1" applyBorder="1">
      <alignment vertical="center"/>
    </xf>
    <xf numFmtId="49" fontId="1" fillId="6" borderId="14" xfId="3" applyNumberFormat="1" applyFill="1" applyBorder="1">
      <alignment vertical="center"/>
    </xf>
    <xf numFmtId="49" fontId="1" fillId="6" borderId="13" xfId="3" applyNumberFormat="1" applyFill="1" applyBorder="1">
      <alignment vertical="center"/>
    </xf>
    <xf numFmtId="49" fontId="1" fillId="6" borderId="16" xfId="3" applyNumberFormat="1" applyFill="1" applyBorder="1">
      <alignment vertical="center"/>
    </xf>
    <xf numFmtId="0" fontId="9" fillId="0" borderId="0" xfId="4"/>
    <xf numFmtId="14" fontId="9" fillId="0" borderId="0" xfId="4" applyNumberFormat="1" applyAlignment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</cellXfs>
  <cellStyles count="5">
    <cellStyle name="桁区切り" xfId="1" builtinId="6"/>
    <cellStyle name="標準" xfId="0" builtinId="0"/>
    <cellStyle name="標準 2" xfId="2" xr:uid="{B984739B-1152-4AA9-9E69-06369CE726CA}"/>
    <cellStyle name="標準 3" xfId="3" xr:uid="{55861152-7EF3-453C-9D8D-72B55BB97983}"/>
    <cellStyle name="標準 4" xfId="4" xr:uid="{71A01C53-F93B-413F-A767-154FD66947CF}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firstButton="1" fmlaLink="$D$9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9525</xdr:rowOff>
        </xdr:from>
        <xdr:to>
          <xdr:col>3</xdr:col>
          <xdr:colOff>0</xdr:colOff>
          <xdr:row>9</xdr:row>
          <xdr:rowOff>200025</xdr:rowOff>
        </xdr:to>
        <xdr:sp macro="" textlink="">
          <xdr:nvSpPr>
            <xdr:cNvPr id="4116" name="Option 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1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ばね棒タイプ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200025</xdr:rowOff>
        </xdr:from>
        <xdr:to>
          <xdr:col>3</xdr:col>
          <xdr:colOff>0</xdr:colOff>
          <xdr:row>11</xdr:row>
          <xdr:rowOff>200025</xdr:rowOff>
        </xdr:to>
        <xdr:sp macro="" textlink="">
          <xdr:nvSpPr>
            <xdr:cNvPr id="4117" name="Option 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パイプタイプ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20</xdr:row>
          <xdr:rowOff>85725</xdr:rowOff>
        </xdr:from>
        <xdr:to>
          <xdr:col>6</xdr:col>
          <xdr:colOff>1847850</xdr:colOff>
          <xdr:row>23</xdr:row>
          <xdr:rowOff>114300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9770C-E785-4B70-A549-13138D61FA37}">
  <sheetPr codeName="Sheet3"/>
  <dimension ref="A1:BF16"/>
  <sheetViews>
    <sheetView workbookViewId="0">
      <selection activeCell="J4" sqref="J4"/>
    </sheetView>
  </sheetViews>
  <sheetFormatPr defaultRowHeight="18.75" x14ac:dyDescent="0.4"/>
  <cols>
    <col min="1" max="1" width="13.33203125" style="31" customWidth="1"/>
    <col min="2" max="9" width="8.88671875" style="31"/>
    <col min="10" max="10" width="12.5546875" style="31" customWidth="1"/>
    <col min="11" max="52" width="8.88671875" style="31"/>
    <col min="53" max="53" width="28.44140625" style="31" customWidth="1"/>
    <col min="54" max="16384" width="8.88671875" style="31"/>
  </cols>
  <sheetData>
    <row r="1" spans="1:58" x14ac:dyDescent="0.4">
      <c r="A1" s="31" t="s">
        <v>74</v>
      </c>
      <c r="B1" s="31" t="s">
        <v>75</v>
      </c>
      <c r="C1" s="31" t="s">
        <v>76</v>
      </c>
      <c r="D1" s="31" t="s">
        <v>77</v>
      </c>
      <c r="E1" s="31" t="s">
        <v>78</v>
      </c>
      <c r="F1" s="31" t="s">
        <v>79</v>
      </c>
      <c r="G1" s="31" t="s">
        <v>80</v>
      </c>
      <c r="H1" s="31" t="s">
        <v>81</v>
      </c>
      <c r="I1" s="31" t="s">
        <v>82</v>
      </c>
      <c r="J1" s="31" t="s">
        <v>83</v>
      </c>
      <c r="K1" s="31" t="s">
        <v>84</v>
      </c>
      <c r="L1" s="31" t="s">
        <v>85</v>
      </c>
      <c r="M1" s="31" t="s">
        <v>86</v>
      </c>
      <c r="N1" s="31" t="s">
        <v>87</v>
      </c>
      <c r="O1" s="31" t="s">
        <v>88</v>
      </c>
      <c r="P1" s="31" t="s">
        <v>89</v>
      </c>
      <c r="Q1" s="31" t="s">
        <v>90</v>
      </c>
      <c r="R1" s="31" t="s">
        <v>91</v>
      </c>
      <c r="S1" s="31" t="s">
        <v>92</v>
      </c>
      <c r="T1" s="31" t="s">
        <v>93</v>
      </c>
      <c r="U1" s="31" t="s">
        <v>94</v>
      </c>
      <c r="V1" s="31" t="s">
        <v>95</v>
      </c>
      <c r="W1" s="31" t="s">
        <v>96</v>
      </c>
      <c r="X1" s="31" t="s">
        <v>97</v>
      </c>
      <c r="Y1" s="31" t="s">
        <v>98</v>
      </c>
      <c r="Z1" s="31" t="s">
        <v>99</v>
      </c>
      <c r="AA1" s="31" t="s">
        <v>100</v>
      </c>
      <c r="AB1" s="31" t="s">
        <v>101</v>
      </c>
      <c r="AC1" s="31" t="s">
        <v>102</v>
      </c>
      <c r="AD1" s="31" t="s">
        <v>103</v>
      </c>
      <c r="AE1" s="31" t="s">
        <v>104</v>
      </c>
      <c r="AF1" s="31" t="s">
        <v>105</v>
      </c>
      <c r="AG1" s="31" t="s">
        <v>106</v>
      </c>
      <c r="AH1" s="31" t="s">
        <v>107</v>
      </c>
      <c r="AI1" s="31" t="s">
        <v>108</v>
      </c>
      <c r="AJ1" s="31" t="s">
        <v>109</v>
      </c>
      <c r="AK1" s="31" t="s">
        <v>110</v>
      </c>
      <c r="AL1" s="31" t="s">
        <v>111</v>
      </c>
      <c r="AM1" s="31" t="s">
        <v>112</v>
      </c>
      <c r="AN1" s="31" t="s">
        <v>113</v>
      </c>
      <c r="AO1" s="31" t="s">
        <v>114</v>
      </c>
      <c r="AP1" s="31" t="s">
        <v>115</v>
      </c>
      <c r="AQ1" s="31" t="s">
        <v>116</v>
      </c>
      <c r="AR1" s="31" t="s">
        <v>117</v>
      </c>
      <c r="AS1" s="31" t="s">
        <v>118</v>
      </c>
      <c r="AT1" s="31" t="s">
        <v>119</v>
      </c>
      <c r="AU1" s="31" t="s">
        <v>120</v>
      </c>
      <c r="AV1" s="31" t="s">
        <v>121</v>
      </c>
      <c r="AW1" s="31" t="s">
        <v>122</v>
      </c>
      <c r="AX1" s="31" t="s">
        <v>123</v>
      </c>
      <c r="AY1" s="31" t="s">
        <v>124</v>
      </c>
      <c r="AZ1" s="31" t="s">
        <v>125</v>
      </c>
      <c r="BA1" s="31" t="s">
        <v>126</v>
      </c>
      <c r="BB1" s="31" t="s">
        <v>127</v>
      </c>
      <c r="BC1" s="31" t="s">
        <v>128</v>
      </c>
      <c r="BD1" s="31" t="s">
        <v>129</v>
      </c>
      <c r="BE1" s="31" t="s">
        <v>130</v>
      </c>
      <c r="BF1" s="31" t="s">
        <v>131</v>
      </c>
    </row>
    <row r="2" spans="1:58" x14ac:dyDescent="0.4">
      <c r="A2" s="31" t="s">
        <v>132</v>
      </c>
      <c r="B2" s="31" t="s">
        <v>133</v>
      </c>
      <c r="C2" s="31">
        <v>100</v>
      </c>
      <c r="D2" s="31">
        <v>1</v>
      </c>
      <c r="E2" s="31" t="s">
        <v>134</v>
      </c>
      <c r="F2" s="31" t="s">
        <v>135</v>
      </c>
      <c r="G2" s="31" t="s">
        <v>136</v>
      </c>
      <c r="H2" s="31" t="s">
        <v>133</v>
      </c>
      <c r="I2" s="31" t="s">
        <v>137</v>
      </c>
      <c r="J2" s="31" t="s">
        <v>138</v>
      </c>
      <c r="K2" s="31" t="s">
        <v>139</v>
      </c>
      <c r="L2" s="31" t="s">
        <v>140</v>
      </c>
      <c r="N2" s="31">
        <v>1</v>
      </c>
      <c r="O2" s="31">
        <v>7000</v>
      </c>
      <c r="Q2" s="31">
        <v>100</v>
      </c>
      <c r="W2" s="31">
        <v>2450</v>
      </c>
      <c r="AB2" s="31" t="s">
        <v>141</v>
      </c>
      <c r="AC2" s="31" t="s">
        <v>142</v>
      </c>
      <c r="AD2" s="31" t="s">
        <v>143</v>
      </c>
      <c r="AG2" s="31">
        <v>0</v>
      </c>
      <c r="AJ2" s="32">
        <v>44105</v>
      </c>
      <c r="AK2" s="31">
        <v>100</v>
      </c>
      <c r="AL2" s="32">
        <v>44106</v>
      </c>
      <c r="AM2" s="31">
        <v>1</v>
      </c>
      <c r="AN2" s="31">
        <v>3150</v>
      </c>
      <c r="AO2" s="31" t="b">
        <v>0</v>
      </c>
      <c r="AP2" s="31">
        <v>1</v>
      </c>
      <c r="AQ2" s="31" t="s">
        <v>144</v>
      </c>
      <c r="AV2" s="31" t="s">
        <v>145</v>
      </c>
      <c r="AX2" s="31" t="b">
        <v>0</v>
      </c>
      <c r="AY2" s="31" t="s">
        <v>146</v>
      </c>
      <c r="BA2" s="31" t="s">
        <v>34</v>
      </c>
      <c r="BB2" s="31">
        <v>1</v>
      </c>
      <c r="BD2" s="31">
        <v>98</v>
      </c>
      <c r="BE2" s="31" t="b">
        <v>0</v>
      </c>
      <c r="BF2" s="31" t="b">
        <v>0</v>
      </c>
    </row>
    <row r="3" spans="1:58" x14ac:dyDescent="0.4">
      <c r="A3" s="31" t="s">
        <v>147</v>
      </c>
      <c r="B3" s="31" t="s">
        <v>133</v>
      </c>
      <c r="C3" s="31">
        <v>100</v>
      </c>
      <c r="D3" s="31">
        <v>1</v>
      </c>
      <c r="E3" s="31" t="s">
        <v>134</v>
      </c>
      <c r="F3" s="31" t="s">
        <v>135</v>
      </c>
      <c r="G3" s="31" t="s">
        <v>136</v>
      </c>
      <c r="H3" s="31" t="s">
        <v>133</v>
      </c>
      <c r="I3" s="31" t="s">
        <v>137</v>
      </c>
      <c r="J3" s="31" t="s">
        <v>138</v>
      </c>
      <c r="K3" s="31" t="s">
        <v>148</v>
      </c>
      <c r="L3" s="31" t="s">
        <v>139</v>
      </c>
      <c r="N3" s="31">
        <v>1</v>
      </c>
      <c r="O3" s="31">
        <v>7000</v>
      </c>
      <c r="Q3" s="31">
        <v>100</v>
      </c>
      <c r="W3" s="31">
        <v>2450</v>
      </c>
      <c r="AB3" s="31" t="s">
        <v>149</v>
      </c>
      <c r="AC3" s="31" t="s">
        <v>142</v>
      </c>
      <c r="AD3" s="31" t="s">
        <v>143</v>
      </c>
      <c r="AG3" s="31">
        <v>0</v>
      </c>
      <c r="AJ3" s="32">
        <v>44105</v>
      </c>
      <c r="AK3" s="31">
        <v>100</v>
      </c>
      <c r="AO3" s="31" t="b">
        <v>0</v>
      </c>
      <c r="AP3" s="31">
        <v>1</v>
      </c>
      <c r="AQ3" s="31" t="s">
        <v>150</v>
      </c>
      <c r="AV3" s="31" t="s">
        <v>151</v>
      </c>
      <c r="AX3" s="31" t="b">
        <v>0</v>
      </c>
      <c r="AY3" s="31" t="s">
        <v>146</v>
      </c>
      <c r="BA3" s="31" t="s">
        <v>18</v>
      </c>
      <c r="BB3" s="31">
        <v>1</v>
      </c>
      <c r="BD3" s="31">
        <v>99</v>
      </c>
      <c r="BE3" s="31" t="b">
        <v>0</v>
      </c>
      <c r="BF3" s="31" t="b">
        <v>0</v>
      </c>
    </row>
    <row r="4" spans="1:58" x14ac:dyDescent="0.4">
      <c r="A4" s="31" t="s">
        <v>152</v>
      </c>
      <c r="B4" s="31" t="s">
        <v>133</v>
      </c>
      <c r="C4" s="31">
        <v>100</v>
      </c>
      <c r="D4" s="31">
        <v>1</v>
      </c>
      <c r="E4" s="31" t="s">
        <v>134</v>
      </c>
      <c r="F4" s="31" t="s">
        <v>135</v>
      </c>
      <c r="G4" s="31" t="s">
        <v>136</v>
      </c>
      <c r="H4" s="31" t="s">
        <v>133</v>
      </c>
      <c r="I4" s="31" t="s">
        <v>137</v>
      </c>
      <c r="J4" s="31" t="s">
        <v>138</v>
      </c>
      <c r="K4" s="31" t="s">
        <v>153</v>
      </c>
      <c r="L4" s="31" t="s">
        <v>148</v>
      </c>
      <c r="N4" s="31">
        <v>1</v>
      </c>
      <c r="O4" s="31">
        <v>7000</v>
      </c>
      <c r="Q4" s="31">
        <v>80</v>
      </c>
      <c r="W4" s="31">
        <v>2450</v>
      </c>
      <c r="AB4" s="31" t="s">
        <v>154</v>
      </c>
      <c r="AC4" s="31" t="s">
        <v>142</v>
      </c>
      <c r="AD4" s="31" t="s">
        <v>143</v>
      </c>
      <c r="AG4" s="31">
        <v>0</v>
      </c>
      <c r="AJ4" s="32">
        <v>44105</v>
      </c>
      <c r="AK4" s="31">
        <v>80</v>
      </c>
      <c r="AO4" s="31" t="b">
        <v>0</v>
      </c>
      <c r="AP4" s="31">
        <v>1</v>
      </c>
      <c r="AQ4" s="31" t="s">
        <v>155</v>
      </c>
      <c r="AV4" s="31" t="s">
        <v>156</v>
      </c>
      <c r="AX4" s="31" t="b">
        <v>0</v>
      </c>
      <c r="AY4" s="31" t="s">
        <v>146</v>
      </c>
      <c r="BA4" s="31" t="s">
        <v>19</v>
      </c>
      <c r="BB4" s="31">
        <v>1</v>
      </c>
      <c r="BD4" s="31">
        <v>78</v>
      </c>
      <c r="BE4" s="31" t="b">
        <v>0</v>
      </c>
      <c r="BF4" s="31" t="b">
        <v>0</v>
      </c>
    </row>
    <row r="5" spans="1:58" x14ac:dyDescent="0.4">
      <c r="A5" s="31" t="s">
        <v>157</v>
      </c>
      <c r="B5" s="31" t="s">
        <v>133</v>
      </c>
      <c r="C5" s="31">
        <v>100</v>
      </c>
      <c r="D5" s="31">
        <v>1</v>
      </c>
      <c r="E5" s="31" t="s">
        <v>134</v>
      </c>
      <c r="F5" s="31" t="s">
        <v>135</v>
      </c>
      <c r="G5" s="31" t="s">
        <v>136</v>
      </c>
      <c r="H5" s="31" t="s">
        <v>133</v>
      </c>
      <c r="I5" s="31" t="s">
        <v>158</v>
      </c>
      <c r="J5" s="31" t="s">
        <v>159</v>
      </c>
      <c r="K5" s="31" t="s">
        <v>139</v>
      </c>
      <c r="L5" s="31" t="s">
        <v>140</v>
      </c>
      <c r="N5" s="31">
        <v>1</v>
      </c>
      <c r="O5" s="31">
        <v>7000</v>
      </c>
      <c r="Q5" s="31">
        <v>80</v>
      </c>
      <c r="W5" s="31">
        <v>2450</v>
      </c>
      <c r="AB5" s="31" t="s">
        <v>160</v>
      </c>
      <c r="AC5" s="31" t="s">
        <v>142</v>
      </c>
      <c r="AD5" s="31" t="s">
        <v>143</v>
      </c>
      <c r="AG5" s="31">
        <v>0</v>
      </c>
      <c r="AJ5" s="32">
        <v>44105</v>
      </c>
      <c r="AK5" s="31">
        <v>80</v>
      </c>
      <c r="AL5" s="32">
        <v>44106</v>
      </c>
      <c r="AM5" s="31">
        <v>1</v>
      </c>
      <c r="AN5" s="31">
        <v>3150</v>
      </c>
      <c r="AO5" s="31" t="b">
        <v>0</v>
      </c>
      <c r="AP5" s="31">
        <v>1</v>
      </c>
      <c r="AQ5" s="31" t="s">
        <v>161</v>
      </c>
      <c r="AV5" s="31" t="s">
        <v>162</v>
      </c>
      <c r="AX5" s="31" t="b">
        <v>0</v>
      </c>
      <c r="AY5" s="31" t="s">
        <v>146</v>
      </c>
      <c r="BA5" s="31" t="s">
        <v>20</v>
      </c>
      <c r="BB5" s="31">
        <v>1</v>
      </c>
      <c r="BD5" s="31">
        <v>78</v>
      </c>
      <c r="BE5" s="31" t="b">
        <v>0</v>
      </c>
      <c r="BF5" s="31" t="b">
        <v>0</v>
      </c>
    </row>
    <row r="6" spans="1:58" x14ac:dyDescent="0.4">
      <c r="A6" s="31" t="s">
        <v>163</v>
      </c>
      <c r="B6" s="31" t="s">
        <v>133</v>
      </c>
      <c r="C6" s="31">
        <v>100</v>
      </c>
      <c r="D6" s="31">
        <v>1</v>
      </c>
      <c r="E6" s="31" t="s">
        <v>134</v>
      </c>
      <c r="F6" s="31" t="s">
        <v>135</v>
      </c>
      <c r="G6" s="31" t="s">
        <v>136</v>
      </c>
      <c r="H6" s="31" t="s">
        <v>133</v>
      </c>
      <c r="I6" s="31" t="s">
        <v>158</v>
      </c>
      <c r="J6" s="31" t="s">
        <v>159</v>
      </c>
      <c r="K6" s="31" t="s">
        <v>148</v>
      </c>
      <c r="L6" s="31" t="s">
        <v>139</v>
      </c>
      <c r="N6" s="31">
        <v>1</v>
      </c>
      <c r="O6" s="31">
        <v>7000</v>
      </c>
      <c r="Q6" s="31">
        <v>80</v>
      </c>
      <c r="W6" s="31">
        <v>2450</v>
      </c>
      <c r="AB6" s="31" t="s">
        <v>164</v>
      </c>
      <c r="AC6" s="31" t="s">
        <v>142</v>
      </c>
      <c r="AD6" s="31" t="s">
        <v>143</v>
      </c>
      <c r="AG6" s="31">
        <v>0</v>
      </c>
      <c r="AJ6" s="32">
        <v>44105</v>
      </c>
      <c r="AK6" s="31">
        <v>80</v>
      </c>
      <c r="AO6" s="31" t="b">
        <v>0</v>
      </c>
      <c r="AP6" s="31">
        <v>1</v>
      </c>
      <c r="AQ6" s="31" t="s">
        <v>165</v>
      </c>
      <c r="AV6" s="31" t="s">
        <v>166</v>
      </c>
      <c r="AX6" s="31" t="b">
        <v>0</v>
      </c>
      <c r="AY6" s="31" t="s">
        <v>146</v>
      </c>
      <c r="BA6" s="31" t="s">
        <v>21</v>
      </c>
      <c r="BB6" s="31">
        <v>1</v>
      </c>
      <c r="BD6" s="31">
        <v>79</v>
      </c>
      <c r="BE6" s="31" t="b">
        <v>0</v>
      </c>
      <c r="BF6" s="31" t="b">
        <v>0</v>
      </c>
    </row>
    <row r="7" spans="1:58" x14ac:dyDescent="0.4">
      <c r="A7" s="31" t="s">
        <v>167</v>
      </c>
      <c r="B7" s="31" t="s">
        <v>133</v>
      </c>
      <c r="C7" s="31">
        <v>100</v>
      </c>
      <c r="D7" s="31">
        <v>1</v>
      </c>
      <c r="E7" s="31" t="s">
        <v>134</v>
      </c>
      <c r="F7" s="31" t="s">
        <v>135</v>
      </c>
      <c r="G7" s="31" t="s">
        <v>136</v>
      </c>
      <c r="H7" s="31" t="s">
        <v>133</v>
      </c>
      <c r="I7" s="31" t="s">
        <v>158</v>
      </c>
      <c r="J7" s="31" t="s">
        <v>159</v>
      </c>
      <c r="K7" s="31" t="s">
        <v>153</v>
      </c>
      <c r="L7" s="31" t="s">
        <v>148</v>
      </c>
      <c r="N7" s="31">
        <v>1</v>
      </c>
      <c r="O7" s="31">
        <v>7000</v>
      </c>
      <c r="Q7" s="31">
        <v>60</v>
      </c>
      <c r="W7" s="31">
        <v>2450</v>
      </c>
      <c r="AB7" s="31" t="s">
        <v>168</v>
      </c>
      <c r="AC7" s="31" t="s">
        <v>142</v>
      </c>
      <c r="AD7" s="31" t="s">
        <v>143</v>
      </c>
      <c r="AG7" s="31">
        <v>0</v>
      </c>
      <c r="AJ7" s="32">
        <v>44105</v>
      </c>
      <c r="AK7" s="31">
        <v>60</v>
      </c>
      <c r="AO7" s="31" t="b">
        <v>0</v>
      </c>
      <c r="AP7" s="31">
        <v>1</v>
      </c>
      <c r="AQ7" s="31" t="s">
        <v>169</v>
      </c>
      <c r="AV7" s="31" t="s">
        <v>170</v>
      </c>
      <c r="AX7" s="31" t="b">
        <v>0</v>
      </c>
      <c r="AY7" s="31" t="s">
        <v>146</v>
      </c>
      <c r="BA7" s="31" t="s">
        <v>22</v>
      </c>
      <c r="BB7" s="31">
        <v>1</v>
      </c>
      <c r="BD7" s="31">
        <v>59</v>
      </c>
      <c r="BE7" s="31" t="b">
        <v>0</v>
      </c>
      <c r="BF7" s="31" t="b">
        <v>0</v>
      </c>
    </row>
    <row r="8" spans="1:58" x14ac:dyDescent="0.4">
      <c r="A8" s="31" t="s">
        <v>171</v>
      </c>
      <c r="B8" s="31" t="s">
        <v>133</v>
      </c>
      <c r="C8" s="31">
        <v>100</v>
      </c>
      <c r="D8" s="31">
        <v>1</v>
      </c>
      <c r="E8" s="31" t="s">
        <v>134</v>
      </c>
      <c r="F8" s="31" t="s">
        <v>135</v>
      </c>
      <c r="G8" s="31" t="s">
        <v>136</v>
      </c>
      <c r="H8" s="31" t="s">
        <v>133</v>
      </c>
      <c r="I8" s="31" t="s">
        <v>172</v>
      </c>
      <c r="J8" s="31" t="s">
        <v>173</v>
      </c>
      <c r="K8" s="31" t="s">
        <v>139</v>
      </c>
      <c r="L8" s="31" t="s">
        <v>140</v>
      </c>
      <c r="N8" s="31">
        <v>1</v>
      </c>
      <c r="O8" s="31">
        <v>7000</v>
      </c>
      <c r="Q8" s="31">
        <v>80</v>
      </c>
      <c r="W8" s="31">
        <v>2450</v>
      </c>
      <c r="AB8" s="31" t="s">
        <v>174</v>
      </c>
      <c r="AC8" s="31" t="s">
        <v>142</v>
      </c>
      <c r="AD8" s="31" t="s">
        <v>143</v>
      </c>
      <c r="AG8" s="31">
        <v>0</v>
      </c>
      <c r="AJ8" s="32">
        <v>44105</v>
      </c>
      <c r="AK8" s="31">
        <v>80</v>
      </c>
      <c r="AL8" s="32">
        <v>44106</v>
      </c>
      <c r="AM8" s="31">
        <v>1</v>
      </c>
      <c r="AN8" s="31">
        <v>3150</v>
      </c>
      <c r="AO8" s="31" t="b">
        <v>0</v>
      </c>
      <c r="AP8" s="31">
        <v>1</v>
      </c>
      <c r="AQ8" s="31" t="s">
        <v>175</v>
      </c>
      <c r="AV8" s="31" t="s">
        <v>176</v>
      </c>
      <c r="AX8" s="31" t="b">
        <v>0</v>
      </c>
      <c r="AY8" s="31" t="s">
        <v>146</v>
      </c>
      <c r="BA8" s="31" t="s">
        <v>23</v>
      </c>
      <c r="BB8" s="31">
        <v>1</v>
      </c>
      <c r="BD8" s="31">
        <v>78</v>
      </c>
      <c r="BE8" s="31" t="b">
        <v>0</v>
      </c>
      <c r="BF8" s="31" t="b">
        <v>0</v>
      </c>
    </row>
    <row r="9" spans="1:58" x14ac:dyDescent="0.4">
      <c r="A9" s="31" t="s">
        <v>177</v>
      </c>
      <c r="B9" s="31" t="s">
        <v>133</v>
      </c>
      <c r="C9" s="31">
        <v>100</v>
      </c>
      <c r="D9" s="31">
        <v>1</v>
      </c>
      <c r="E9" s="31" t="s">
        <v>134</v>
      </c>
      <c r="F9" s="31" t="s">
        <v>135</v>
      </c>
      <c r="G9" s="31" t="s">
        <v>136</v>
      </c>
      <c r="H9" s="31" t="s">
        <v>133</v>
      </c>
      <c r="I9" s="31" t="s">
        <v>172</v>
      </c>
      <c r="J9" s="31" t="s">
        <v>173</v>
      </c>
      <c r="K9" s="31" t="s">
        <v>148</v>
      </c>
      <c r="L9" s="31" t="s">
        <v>139</v>
      </c>
      <c r="N9" s="31">
        <v>1</v>
      </c>
      <c r="O9" s="31">
        <v>7000</v>
      </c>
      <c r="Q9" s="31">
        <v>80</v>
      </c>
      <c r="W9" s="31">
        <v>2450</v>
      </c>
      <c r="AB9" s="31" t="s">
        <v>178</v>
      </c>
      <c r="AC9" s="31" t="s">
        <v>142</v>
      </c>
      <c r="AD9" s="31" t="s">
        <v>143</v>
      </c>
      <c r="AG9" s="31">
        <v>0</v>
      </c>
      <c r="AJ9" s="32">
        <v>44105</v>
      </c>
      <c r="AK9" s="31">
        <v>80</v>
      </c>
      <c r="AO9" s="31" t="b">
        <v>0</v>
      </c>
      <c r="AP9" s="31">
        <v>1</v>
      </c>
      <c r="AQ9" s="31" t="s">
        <v>179</v>
      </c>
      <c r="AV9" s="31" t="s">
        <v>180</v>
      </c>
      <c r="AX9" s="31" t="b">
        <v>0</v>
      </c>
      <c r="AY9" s="31" t="s">
        <v>146</v>
      </c>
      <c r="BA9" s="31" t="s">
        <v>24</v>
      </c>
      <c r="BB9" s="31">
        <v>1</v>
      </c>
      <c r="BD9" s="31">
        <v>79</v>
      </c>
      <c r="BE9" s="31" t="b">
        <v>0</v>
      </c>
      <c r="BF9" s="31" t="b">
        <v>0</v>
      </c>
    </row>
    <row r="10" spans="1:58" x14ac:dyDescent="0.4">
      <c r="A10" s="31" t="s">
        <v>181</v>
      </c>
      <c r="B10" s="31" t="s">
        <v>133</v>
      </c>
      <c r="C10" s="31">
        <v>100</v>
      </c>
      <c r="D10" s="31">
        <v>1</v>
      </c>
      <c r="E10" s="31" t="s">
        <v>134</v>
      </c>
      <c r="F10" s="31" t="s">
        <v>135</v>
      </c>
      <c r="G10" s="31" t="s">
        <v>136</v>
      </c>
      <c r="H10" s="31" t="s">
        <v>133</v>
      </c>
      <c r="I10" s="31" t="s">
        <v>172</v>
      </c>
      <c r="J10" s="31" t="s">
        <v>173</v>
      </c>
      <c r="K10" s="31" t="s">
        <v>153</v>
      </c>
      <c r="L10" s="31" t="s">
        <v>148</v>
      </c>
      <c r="N10" s="31">
        <v>1</v>
      </c>
      <c r="O10" s="31">
        <v>7000</v>
      </c>
      <c r="Q10" s="31">
        <v>60</v>
      </c>
      <c r="W10" s="31">
        <v>2450</v>
      </c>
      <c r="AB10" s="31" t="s">
        <v>182</v>
      </c>
      <c r="AC10" s="31" t="s">
        <v>142</v>
      </c>
      <c r="AD10" s="31" t="s">
        <v>143</v>
      </c>
      <c r="AG10" s="31">
        <v>0</v>
      </c>
      <c r="AJ10" s="32">
        <v>44105</v>
      </c>
      <c r="AK10" s="31">
        <v>60</v>
      </c>
      <c r="AO10" s="31" t="b">
        <v>0</v>
      </c>
      <c r="AP10" s="31">
        <v>1</v>
      </c>
      <c r="AQ10" s="31" t="s">
        <v>183</v>
      </c>
      <c r="AV10" s="31" t="s">
        <v>184</v>
      </c>
      <c r="AX10" s="31" t="b">
        <v>0</v>
      </c>
      <c r="AY10" s="31" t="s">
        <v>146</v>
      </c>
      <c r="BA10" s="31" t="s">
        <v>25</v>
      </c>
      <c r="BB10" s="31">
        <v>1</v>
      </c>
      <c r="BD10" s="31">
        <v>59</v>
      </c>
      <c r="BE10" s="31" t="b">
        <v>0</v>
      </c>
      <c r="BF10" s="31" t="b">
        <v>0</v>
      </c>
    </row>
    <row r="11" spans="1:58" x14ac:dyDescent="0.4">
      <c r="A11" s="31" t="s">
        <v>185</v>
      </c>
      <c r="B11" s="31" t="s">
        <v>133</v>
      </c>
      <c r="C11" s="31">
        <v>100</v>
      </c>
      <c r="D11" s="31">
        <v>1</v>
      </c>
      <c r="E11" s="31" t="s">
        <v>134</v>
      </c>
      <c r="F11" s="31" t="s">
        <v>135</v>
      </c>
      <c r="G11" s="31" t="s">
        <v>136</v>
      </c>
      <c r="H11" s="31" t="s">
        <v>133</v>
      </c>
      <c r="I11" s="31" t="s">
        <v>186</v>
      </c>
      <c r="J11" s="31" t="s">
        <v>187</v>
      </c>
      <c r="K11" s="31" t="s">
        <v>139</v>
      </c>
      <c r="L11" s="31" t="s">
        <v>140</v>
      </c>
      <c r="N11" s="31">
        <v>1</v>
      </c>
      <c r="O11" s="31">
        <v>7000</v>
      </c>
      <c r="Q11" s="31">
        <v>70</v>
      </c>
      <c r="W11" s="31">
        <v>2450</v>
      </c>
      <c r="AB11" s="31" t="s">
        <v>188</v>
      </c>
      <c r="AC11" s="31" t="s">
        <v>142</v>
      </c>
      <c r="AD11" s="31" t="s">
        <v>143</v>
      </c>
      <c r="AG11" s="31">
        <v>0</v>
      </c>
      <c r="AJ11" s="32">
        <v>44105</v>
      </c>
      <c r="AK11" s="31">
        <v>70</v>
      </c>
      <c r="AL11" s="32">
        <v>44106</v>
      </c>
      <c r="AM11" s="31">
        <v>1</v>
      </c>
      <c r="AN11" s="31">
        <v>3150</v>
      </c>
      <c r="AO11" s="31" t="b">
        <v>0</v>
      </c>
      <c r="AP11" s="31">
        <v>1</v>
      </c>
      <c r="AQ11" s="31" t="s">
        <v>189</v>
      </c>
      <c r="AV11" s="31" t="s">
        <v>190</v>
      </c>
      <c r="AX11" s="31" t="b">
        <v>0</v>
      </c>
      <c r="AY11" s="31" t="s">
        <v>146</v>
      </c>
      <c r="BA11" s="31" t="s">
        <v>26</v>
      </c>
      <c r="BB11" s="31">
        <v>1</v>
      </c>
      <c r="BD11" s="31">
        <v>68</v>
      </c>
      <c r="BE11" s="31" t="b">
        <v>0</v>
      </c>
      <c r="BF11" s="31" t="b">
        <v>0</v>
      </c>
    </row>
    <row r="12" spans="1:58" x14ac:dyDescent="0.4">
      <c r="A12" s="31" t="s">
        <v>191</v>
      </c>
      <c r="B12" s="31" t="s">
        <v>133</v>
      </c>
      <c r="C12" s="31">
        <v>100</v>
      </c>
      <c r="D12" s="31">
        <v>1</v>
      </c>
      <c r="E12" s="31" t="s">
        <v>134</v>
      </c>
      <c r="F12" s="31" t="s">
        <v>135</v>
      </c>
      <c r="G12" s="31" t="s">
        <v>136</v>
      </c>
      <c r="H12" s="31" t="s">
        <v>133</v>
      </c>
      <c r="I12" s="31" t="s">
        <v>186</v>
      </c>
      <c r="J12" s="31" t="s">
        <v>187</v>
      </c>
      <c r="K12" s="31" t="s">
        <v>148</v>
      </c>
      <c r="L12" s="31" t="s">
        <v>139</v>
      </c>
      <c r="N12" s="31">
        <v>1</v>
      </c>
      <c r="O12" s="31">
        <v>7000</v>
      </c>
      <c r="Q12" s="31">
        <v>70</v>
      </c>
      <c r="W12" s="31">
        <v>2450</v>
      </c>
      <c r="AB12" s="31" t="s">
        <v>192</v>
      </c>
      <c r="AC12" s="31" t="s">
        <v>142</v>
      </c>
      <c r="AD12" s="31" t="s">
        <v>143</v>
      </c>
      <c r="AG12" s="31">
        <v>0</v>
      </c>
      <c r="AJ12" s="32">
        <v>44105</v>
      </c>
      <c r="AK12" s="31">
        <v>70</v>
      </c>
      <c r="AO12" s="31" t="b">
        <v>0</v>
      </c>
      <c r="AP12" s="31">
        <v>1</v>
      </c>
      <c r="AQ12" s="31" t="s">
        <v>193</v>
      </c>
      <c r="AV12" s="31" t="s">
        <v>194</v>
      </c>
      <c r="AX12" s="31" t="b">
        <v>0</v>
      </c>
      <c r="AY12" s="31" t="s">
        <v>146</v>
      </c>
      <c r="BA12" s="31" t="s">
        <v>27</v>
      </c>
      <c r="BB12" s="31">
        <v>1</v>
      </c>
      <c r="BD12" s="31">
        <v>69</v>
      </c>
      <c r="BE12" s="31" t="b">
        <v>0</v>
      </c>
      <c r="BF12" s="31" t="b">
        <v>0</v>
      </c>
    </row>
    <row r="13" spans="1:58" x14ac:dyDescent="0.4">
      <c r="A13" s="31" t="s">
        <v>195</v>
      </c>
      <c r="B13" s="31" t="s">
        <v>133</v>
      </c>
      <c r="C13" s="31">
        <v>100</v>
      </c>
      <c r="D13" s="31">
        <v>1</v>
      </c>
      <c r="E13" s="31" t="s">
        <v>134</v>
      </c>
      <c r="F13" s="31" t="s">
        <v>135</v>
      </c>
      <c r="G13" s="31" t="s">
        <v>136</v>
      </c>
      <c r="H13" s="31" t="s">
        <v>133</v>
      </c>
      <c r="I13" s="31" t="s">
        <v>186</v>
      </c>
      <c r="J13" s="31" t="s">
        <v>187</v>
      </c>
      <c r="K13" s="31" t="s">
        <v>153</v>
      </c>
      <c r="L13" s="31" t="s">
        <v>148</v>
      </c>
      <c r="N13" s="31">
        <v>1</v>
      </c>
      <c r="O13" s="31">
        <v>7000</v>
      </c>
      <c r="Q13" s="31">
        <v>50</v>
      </c>
      <c r="W13" s="31">
        <v>2450</v>
      </c>
      <c r="AB13" s="31" t="s">
        <v>196</v>
      </c>
      <c r="AC13" s="31" t="s">
        <v>142</v>
      </c>
      <c r="AD13" s="31" t="s">
        <v>143</v>
      </c>
      <c r="AG13" s="31">
        <v>0</v>
      </c>
      <c r="AJ13" s="32">
        <v>44105</v>
      </c>
      <c r="AK13" s="31">
        <v>50</v>
      </c>
      <c r="AO13" s="31" t="b">
        <v>0</v>
      </c>
      <c r="AP13" s="31">
        <v>1</v>
      </c>
      <c r="AQ13" s="31" t="s">
        <v>197</v>
      </c>
      <c r="AV13" s="31" t="s">
        <v>198</v>
      </c>
      <c r="AX13" s="31" t="b">
        <v>0</v>
      </c>
      <c r="AY13" s="31" t="s">
        <v>146</v>
      </c>
      <c r="BA13" s="31" t="s">
        <v>28</v>
      </c>
      <c r="BB13" s="31">
        <v>1</v>
      </c>
      <c r="BD13" s="31">
        <v>49</v>
      </c>
      <c r="BE13" s="31" t="b">
        <v>0</v>
      </c>
      <c r="BF13" s="31" t="b">
        <v>0</v>
      </c>
    </row>
    <row r="14" spans="1:58" x14ac:dyDescent="0.4">
      <c r="A14" s="31" t="s">
        <v>199</v>
      </c>
      <c r="B14" s="31" t="s">
        <v>133</v>
      </c>
      <c r="C14" s="31">
        <v>100</v>
      </c>
      <c r="D14" s="31">
        <v>1</v>
      </c>
      <c r="E14" s="31" t="s">
        <v>134</v>
      </c>
      <c r="F14" s="31" t="s">
        <v>135</v>
      </c>
      <c r="G14" s="31" t="s">
        <v>136</v>
      </c>
      <c r="H14" s="31" t="s">
        <v>133</v>
      </c>
      <c r="I14" s="31" t="s">
        <v>200</v>
      </c>
      <c r="J14" s="31" t="s">
        <v>201</v>
      </c>
      <c r="K14" s="31" t="s">
        <v>139</v>
      </c>
      <c r="L14" s="31" t="s">
        <v>140</v>
      </c>
      <c r="N14" s="31">
        <v>1</v>
      </c>
      <c r="O14" s="31">
        <v>7000</v>
      </c>
      <c r="Q14" s="31">
        <v>80</v>
      </c>
      <c r="W14" s="31">
        <v>2450</v>
      </c>
      <c r="AB14" s="31" t="s">
        <v>202</v>
      </c>
      <c r="AC14" s="31" t="s">
        <v>142</v>
      </c>
      <c r="AD14" s="31" t="s">
        <v>143</v>
      </c>
      <c r="AG14" s="31">
        <v>0</v>
      </c>
      <c r="AJ14" s="32">
        <v>44105</v>
      </c>
      <c r="AK14" s="31">
        <v>80</v>
      </c>
      <c r="AL14" s="32">
        <v>44106</v>
      </c>
      <c r="AM14" s="31">
        <v>1</v>
      </c>
      <c r="AN14" s="31">
        <v>3150</v>
      </c>
      <c r="AO14" s="31" t="b">
        <v>0</v>
      </c>
      <c r="AP14" s="31">
        <v>1</v>
      </c>
      <c r="AQ14" s="31" t="s">
        <v>203</v>
      </c>
      <c r="AV14" s="31" t="s">
        <v>204</v>
      </c>
      <c r="AX14" s="31" t="b">
        <v>0</v>
      </c>
      <c r="AY14" s="31" t="s">
        <v>146</v>
      </c>
      <c r="BA14" s="31" t="s">
        <v>29</v>
      </c>
      <c r="BB14" s="31">
        <v>1</v>
      </c>
      <c r="BD14" s="31">
        <v>78</v>
      </c>
      <c r="BE14" s="31" t="b">
        <v>0</v>
      </c>
      <c r="BF14" s="31" t="b">
        <v>0</v>
      </c>
    </row>
    <row r="15" spans="1:58" x14ac:dyDescent="0.4">
      <c r="A15" s="31" t="s">
        <v>205</v>
      </c>
      <c r="B15" s="31" t="s">
        <v>133</v>
      </c>
      <c r="C15" s="31">
        <v>100</v>
      </c>
      <c r="D15" s="31">
        <v>1</v>
      </c>
      <c r="E15" s="31" t="s">
        <v>134</v>
      </c>
      <c r="F15" s="31" t="s">
        <v>135</v>
      </c>
      <c r="G15" s="31" t="s">
        <v>136</v>
      </c>
      <c r="H15" s="31" t="s">
        <v>133</v>
      </c>
      <c r="I15" s="31" t="s">
        <v>200</v>
      </c>
      <c r="J15" s="31" t="s">
        <v>201</v>
      </c>
      <c r="K15" s="31" t="s">
        <v>148</v>
      </c>
      <c r="L15" s="31" t="s">
        <v>139</v>
      </c>
      <c r="N15" s="31">
        <v>1</v>
      </c>
      <c r="O15" s="31">
        <v>7000</v>
      </c>
      <c r="Q15" s="31">
        <v>80</v>
      </c>
      <c r="W15" s="31">
        <v>2450</v>
      </c>
      <c r="AB15" s="31" t="s">
        <v>206</v>
      </c>
      <c r="AC15" s="31" t="s">
        <v>142</v>
      </c>
      <c r="AD15" s="31" t="s">
        <v>143</v>
      </c>
      <c r="AG15" s="31">
        <v>0</v>
      </c>
      <c r="AJ15" s="32">
        <v>44105</v>
      </c>
      <c r="AK15" s="31">
        <v>80</v>
      </c>
      <c r="AO15" s="31" t="b">
        <v>0</v>
      </c>
      <c r="AP15" s="31">
        <v>1</v>
      </c>
      <c r="AQ15" s="31" t="s">
        <v>207</v>
      </c>
      <c r="AV15" s="31" t="s">
        <v>208</v>
      </c>
      <c r="AX15" s="31" t="b">
        <v>0</v>
      </c>
      <c r="AY15" s="31" t="s">
        <v>146</v>
      </c>
      <c r="BA15" s="31" t="s">
        <v>30</v>
      </c>
      <c r="BB15" s="31">
        <v>1</v>
      </c>
      <c r="BD15" s="31">
        <v>79</v>
      </c>
      <c r="BE15" s="31" t="b">
        <v>0</v>
      </c>
      <c r="BF15" s="31" t="b">
        <v>0</v>
      </c>
    </row>
    <row r="16" spans="1:58" x14ac:dyDescent="0.4">
      <c r="A16" s="31" t="s">
        <v>209</v>
      </c>
      <c r="B16" s="31" t="s">
        <v>133</v>
      </c>
      <c r="C16" s="31">
        <v>100</v>
      </c>
      <c r="D16" s="31">
        <v>1</v>
      </c>
      <c r="E16" s="31" t="s">
        <v>134</v>
      </c>
      <c r="F16" s="31" t="s">
        <v>135</v>
      </c>
      <c r="G16" s="31" t="s">
        <v>136</v>
      </c>
      <c r="H16" s="31" t="s">
        <v>133</v>
      </c>
      <c r="I16" s="31" t="s">
        <v>200</v>
      </c>
      <c r="J16" s="31" t="s">
        <v>201</v>
      </c>
      <c r="K16" s="31" t="s">
        <v>153</v>
      </c>
      <c r="L16" s="31" t="s">
        <v>148</v>
      </c>
      <c r="N16" s="31">
        <v>1</v>
      </c>
      <c r="O16" s="31">
        <v>7000</v>
      </c>
      <c r="Q16" s="31">
        <v>60</v>
      </c>
      <c r="W16" s="31">
        <v>2450</v>
      </c>
      <c r="AB16" s="31" t="s">
        <v>210</v>
      </c>
      <c r="AC16" s="31" t="s">
        <v>142</v>
      </c>
      <c r="AD16" s="31" t="s">
        <v>143</v>
      </c>
      <c r="AG16" s="31">
        <v>0</v>
      </c>
      <c r="AJ16" s="32">
        <v>44105</v>
      </c>
      <c r="AK16" s="31">
        <v>60</v>
      </c>
      <c r="AO16" s="31" t="b">
        <v>0</v>
      </c>
      <c r="AP16" s="31">
        <v>1</v>
      </c>
      <c r="AQ16" s="31" t="s">
        <v>211</v>
      </c>
      <c r="AV16" s="31" t="s">
        <v>212</v>
      </c>
      <c r="AX16" s="31" t="b">
        <v>0</v>
      </c>
      <c r="AY16" s="31" t="s">
        <v>146</v>
      </c>
      <c r="BA16" s="31" t="s">
        <v>31</v>
      </c>
      <c r="BB16" s="31">
        <v>1</v>
      </c>
      <c r="BD16" s="31">
        <v>59</v>
      </c>
      <c r="BE16" s="31" t="b">
        <v>0</v>
      </c>
      <c r="BF16" s="31" t="b">
        <v>0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034BE-721A-41D6-A6F2-A2E00FFB7BDC}">
  <sheetPr codeName="Sheet4">
    <tabColor theme="9" tint="0.79998168889431442"/>
  </sheetPr>
  <dimension ref="A1:G59"/>
  <sheetViews>
    <sheetView tabSelected="1" zoomScaleNormal="100" workbookViewId="0">
      <selection activeCell="K16" sqref="K16"/>
    </sheetView>
  </sheetViews>
  <sheetFormatPr defaultRowHeight="15.75" x14ac:dyDescent="0.25"/>
  <cols>
    <col min="1" max="1" width="24.109375" customWidth="1"/>
    <col min="2" max="2" width="2.6640625" customWidth="1"/>
    <col min="3" max="3" width="13.5546875" customWidth="1"/>
    <col min="4" max="4" width="3.5546875" customWidth="1"/>
    <col min="5" max="5" width="2.33203125" customWidth="1"/>
    <col min="6" max="6" width="9.33203125" customWidth="1"/>
    <col min="7" max="7" width="44.5546875" customWidth="1"/>
  </cols>
  <sheetData>
    <row r="1" spans="1:7" x14ac:dyDescent="0.25">
      <c r="A1" t="s">
        <v>33</v>
      </c>
      <c r="G1" s="5"/>
    </row>
    <row r="4" spans="1:7" x14ac:dyDescent="0.25">
      <c r="C4" s="15" t="s">
        <v>16</v>
      </c>
    </row>
    <row r="5" spans="1:7" x14ac:dyDescent="0.25">
      <c r="A5" s="1" t="s">
        <v>0</v>
      </c>
      <c r="C5" s="1" t="s">
        <v>1</v>
      </c>
      <c r="F5" s="35" t="s">
        <v>2</v>
      </c>
      <c r="G5" s="35"/>
    </row>
    <row r="6" spans="1:7" x14ac:dyDescent="0.25">
      <c r="A6" s="18" t="s">
        <v>32</v>
      </c>
      <c r="C6" s="2">
        <v>3500</v>
      </c>
      <c r="F6" s="36" t="s">
        <v>17</v>
      </c>
      <c r="G6" s="36"/>
    </row>
    <row r="7" spans="1:7" x14ac:dyDescent="0.25">
      <c r="A7" s="18" t="s">
        <v>18</v>
      </c>
      <c r="F7" s="3" t="s">
        <v>4</v>
      </c>
      <c r="G7" s="4" t="str">
        <f ca="1">TEXT(TODAY(),"YYYYMMDD") &amp; "_" &amp; $F$6 &amp; "_1.csv"</f>
        <v>20201212_イタリアンレザー_1.csv</v>
      </c>
    </row>
    <row r="8" spans="1:7" x14ac:dyDescent="0.25">
      <c r="A8" s="17" t="s">
        <v>19</v>
      </c>
      <c r="C8" s="1" t="s">
        <v>3</v>
      </c>
      <c r="F8" s="3" t="s">
        <v>5</v>
      </c>
      <c r="G8" s="4" t="str">
        <f ca="1">TEXT(TODAY(),"YYYYMMDD") &amp; "_" &amp; $F$6 &amp; "_2.csv"</f>
        <v>20201212_イタリアンレザー_2.csv</v>
      </c>
    </row>
    <row r="9" spans="1:7" x14ac:dyDescent="0.25">
      <c r="A9" s="17" t="s">
        <v>20</v>
      </c>
      <c r="C9" s="33"/>
      <c r="D9" s="37">
        <v>2</v>
      </c>
      <c r="F9" s="3" t="s">
        <v>6</v>
      </c>
      <c r="G9" s="4" t="str">
        <f ca="1">TEXT(TODAY(),"YYYYMMDD") &amp; "_" &amp; $F$6 &amp; "_セットSKUリスト.txt"</f>
        <v>20201212_イタリアンレザー_セットSKUリスト.txt</v>
      </c>
    </row>
    <row r="10" spans="1:7" x14ac:dyDescent="0.25">
      <c r="A10" s="17" t="s">
        <v>21</v>
      </c>
      <c r="C10" s="34"/>
      <c r="D10" s="37"/>
      <c r="F10" s="3" t="s">
        <v>7</v>
      </c>
      <c r="G10" s="6" t="str">
        <f ca="1">TEXT(TODAY(),"YYYYMMDD") &amp; "_" &amp; $F$6 &amp; "_Access登録データ.xlsx"</f>
        <v>20201212_イタリアンレザー_Access登録データ.xlsx</v>
      </c>
    </row>
    <row r="11" spans="1:7" x14ac:dyDescent="0.25">
      <c r="A11" s="17" t="s">
        <v>22</v>
      </c>
      <c r="C11" s="33"/>
      <c r="D11" s="37"/>
    </row>
    <row r="12" spans="1:7" x14ac:dyDescent="0.25">
      <c r="A12" s="17" t="s">
        <v>23</v>
      </c>
      <c r="C12" s="34"/>
      <c r="D12" s="37"/>
    </row>
    <row r="13" spans="1:7" x14ac:dyDescent="0.25">
      <c r="A13" s="16" t="s">
        <v>24</v>
      </c>
    </row>
    <row r="14" spans="1:7" x14ac:dyDescent="0.25">
      <c r="A14" s="16" t="s">
        <v>25</v>
      </c>
    </row>
    <row r="15" spans="1:7" x14ac:dyDescent="0.25">
      <c r="A15" s="16" t="s">
        <v>26</v>
      </c>
      <c r="G15" s="14"/>
    </row>
    <row r="16" spans="1:7" x14ac:dyDescent="0.25">
      <c r="A16" s="16" t="s">
        <v>27</v>
      </c>
    </row>
    <row r="17" spans="1:1" x14ac:dyDescent="0.25">
      <c r="A17" s="16" t="s">
        <v>28</v>
      </c>
    </row>
    <row r="18" spans="1:1" x14ac:dyDescent="0.25">
      <c r="A18" s="16" t="s">
        <v>29</v>
      </c>
    </row>
    <row r="19" spans="1:1" x14ac:dyDescent="0.25">
      <c r="A19" s="16" t="s">
        <v>30</v>
      </c>
    </row>
    <row r="20" spans="1:1" x14ac:dyDescent="0.25">
      <c r="A20" s="16" t="s">
        <v>31</v>
      </c>
    </row>
    <row r="21" spans="1:1" x14ac:dyDescent="0.25">
      <c r="A21" s="16"/>
    </row>
    <row r="22" spans="1:1" x14ac:dyDescent="0.25">
      <c r="A22" s="16"/>
    </row>
    <row r="23" spans="1:1" x14ac:dyDescent="0.25">
      <c r="A23" s="16"/>
    </row>
    <row r="24" spans="1:1" x14ac:dyDescent="0.25">
      <c r="A24" s="16"/>
    </row>
    <row r="25" spans="1:1" x14ac:dyDescent="0.25">
      <c r="A25" s="16"/>
    </row>
    <row r="26" spans="1:1" x14ac:dyDescent="0.25">
      <c r="A26" s="16"/>
    </row>
    <row r="27" spans="1:1" x14ac:dyDescent="0.25">
      <c r="A27" s="16"/>
    </row>
    <row r="28" spans="1:1" x14ac:dyDescent="0.25">
      <c r="A28" s="16"/>
    </row>
    <row r="29" spans="1:1" x14ac:dyDescent="0.25">
      <c r="A29" s="16"/>
    </row>
    <row r="30" spans="1:1" x14ac:dyDescent="0.25">
      <c r="A30" s="16"/>
    </row>
    <row r="31" spans="1:1" x14ac:dyDescent="0.25">
      <c r="A31" s="16"/>
    </row>
    <row r="32" spans="1:1" x14ac:dyDescent="0.25">
      <c r="A32" s="16"/>
    </row>
    <row r="33" spans="1:1" x14ac:dyDescent="0.25">
      <c r="A33" s="16"/>
    </row>
    <row r="34" spans="1:1" x14ac:dyDescent="0.25">
      <c r="A34" s="16"/>
    </row>
    <row r="35" spans="1:1" x14ac:dyDescent="0.25">
      <c r="A35" s="16"/>
    </row>
    <row r="36" spans="1:1" x14ac:dyDescent="0.25">
      <c r="A36" s="16"/>
    </row>
    <row r="37" spans="1:1" x14ac:dyDescent="0.25">
      <c r="A37" s="16"/>
    </row>
    <row r="38" spans="1:1" x14ac:dyDescent="0.25">
      <c r="A38" s="16"/>
    </row>
    <row r="39" spans="1:1" x14ac:dyDescent="0.25">
      <c r="A39" s="16"/>
    </row>
    <row r="40" spans="1:1" x14ac:dyDescent="0.25">
      <c r="A40" s="16"/>
    </row>
    <row r="41" spans="1:1" x14ac:dyDescent="0.25">
      <c r="A41" s="16"/>
    </row>
    <row r="42" spans="1:1" x14ac:dyDescent="0.25">
      <c r="A42" s="16"/>
    </row>
    <row r="43" spans="1:1" x14ac:dyDescent="0.25">
      <c r="A43" s="16"/>
    </row>
    <row r="44" spans="1:1" x14ac:dyDescent="0.25">
      <c r="A44" s="16"/>
    </row>
    <row r="45" spans="1:1" x14ac:dyDescent="0.25">
      <c r="A45" s="16"/>
    </row>
    <row r="46" spans="1:1" x14ac:dyDescent="0.25">
      <c r="A46" s="16"/>
    </row>
    <row r="47" spans="1:1" x14ac:dyDescent="0.25">
      <c r="A47" s="16"/>
    </row>
    <row r="48" spans="1:1" x14ac:dyDescent="0.25">
      <c r="A48" s="16"/>
    </row>
    <row r="49" spans="1:1" x14ac:dyDescent="0.25">
      <c r="A49" s="16"/>
    </row>
    <row r="50" spans="1:1" x14ac:dyDescent="0.25">
      <c r="A50" s="16"/>
    </row>
    <row r="51" spans="1:1" x14ac:dyDescent="0.25">
      <c r="A51" s="16"/>
    </row>
    <row r="52" spans="1:1" x14ac:dyDescent="0.25">
      <c r="A52" s="16"/>
    </row>
    <row r="53" spans="1:1" x14ac:dyDescent="0.25">
      <c r="A53" s="16"/>
    </row>
    <row r="54" spans="1:1" x14ac:dyDescent="0.25">
      <c r="A54" s="16"/>
    </row>
    <row r="55" spans="1:1" x14ac:dyDescent="0.25">
      <c r="A55" s="16"/>
    </row>
    <row r="56" spans="1:1" x14ac:dyDescent="0.25">
      <c r="A56" s="16"/>
    </row>
    <row r="57" spans="1:1" x14ac:dyDescent="0.25">
      <c r="A57" s="16"/>
    </row>
    <row r="58" spans="1:1" x14ac:dyDescent="0.25">
      <c r="A58" s="16"/>
    </row>
    <row r="59" spans="1:1" x14ac:dyDescent="0.25">
      <c r="A59" s="16"/>
    </row>
  </sheetData>
  <dataConsolidate/>
  <mergeCells count="5">
    <mergeCell ref="C9:C10"/>
    <mergeCell ref="C11:C12"/>
    <mergeCell ref="F5:G5"/>
    <mergeCell ref="F6:G6"/>
    <mergeCell ref="D9:D12"/>
  </mergeCells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6" r:id="rId4" name="Option Button 20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9525</xdr:rowOff>
                  </from>
                  <to>
                    <xdr:col>3</xdr:col>
                    <xdr:colOff>0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5" name="Option Button 21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200025</xdr:rowOff>
                  </from>
                  <to>
                    <xdr:col>3</xdr:col>
                    <xdr:colOff>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6" name="Button 22">
              <controlPr defaultSize="0" print="0" autoFill="0" autoPict="0" macro="[0]!createNextEngineCSV">
                <anchor moveWithCells="1" sizeWithCells="1">
                  <from>
                    <xdr:col>6</xdr:col>
                    <xdr:colOff>200025</xdr:colOff>
                    <xdr:row>20</xdr:row>
                    <xdr:rowOff>85725</xdr:rowOff>
                  </from>
                  <to>
                    <xdr:col>6</xdr:col>
                    <xdr:colOff>1847850</xdr:colOff>
                    <xdr:row>23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2BDAC-6F89-4B72-842D-701DA9C76289}">
  <sheetPr codeName="Sheet5">
    <tabColor theme="0" tint="-0.249977111117893"/>
  </sheetPr>
  <dimension ref="A1:H1"/>
  <sheetViews>
    <sheetView zoomScale="85" zoomScaleNormal="85" workbookViewId="0"/>
  </sheetViews>
  <sheetFormatPr defaultColWidth="8.77734375" defaultRowHeight="18.75" x14ac:dyDescent="0.25"/>
  <cols>
    <col min="1" max="1" width="26.44140625" style="11" bestFit="1" customWidth="1"/>
    <col min="2" max="2" width="35.21875" style="13" bestFit="1" customWidth="1"/>
    <col min="3" max="3" width="20.44140625" style="13" bestFit="1" customWidth="1"/>
    <col min="4" max="4" width="12.88671875" style="13" bestFit="1" customWidth="1"/>
    <col min="5" max="7" width="11" style="13" bestFit="1" customWidth="1"/>
    <col min="8" max="8" width="7.21875" style="12" customWidth="1"/>
    <col min="9" max="16384" width="8.77734375" style="10"/>
  </cols>
  <sheetData>
    <row r="1" spans="1:8" x14ac:dyDescent="0.25">
      <c r="A1" s="7" t="s">
        <v>8</v>
      </c>
      <c r="B1" s="8" t="s">
        <v>9</v>
      </c>
      <c r="C1" s="8" t="s">
        <v>10</v>
      </c>
      <c r="D1" s="8" t="s">
        <v>11</v>
      </c>
      <c r="E1" s="8" t="s">
        <v>12</v>
      </c>
      <c r="F1" s="8" t="s">
        <v>13</v>
      </c>
      <c r="G1" s="8" t="s">
        <v>14</v>
      </c>
      <c r="H1" s="9" t="s">
        <v>15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3A419-7F1C-4097-B368-8C525B5DC07F}">
  <sheetPr codeName="Sheet1"/>
  <dimension ref="A1"/>
  <sheetViews>
    <sheetView workbookViewId="0"/>
  </sheetViews>
  <sheetFormatPr defaultRowHeight="15.75" x14ac:dyDescent="0.25"/>
  <sheetData/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B54C0-34AD-4F0B-A474-960FDC2BD8F6}">
  <sheetPr codeName="Sheet2"/>
  <dimension ref="A1:R16"/>
  <sheetViews>
    <sheetView workbookViewId="0">
      <selection activeCell="F2" sqref="F2"/>
    </sheetView>
  </sheetViews>
  <sheetFormatPr defaultRowHeight="18.75" x14ac:dyDescent="0.25"/>
  <cols>
    <col min="1" max="1" width="11.77734375" style="19" customWidth="1"/>
    <col min="2" max="2" width="9.6640625" style="19" customWidth="1"/>
    <col min="3" max="7" width="8.88671875" style="19"/>
    <col min="8" max="8" width="15" style="19" customWidth="1"/>
    <col min="9" max="10" width="8.88671875" style="19"/>
    <col min="11" max="11" width="10.88671875" style="19" customWidth="1"/>
    <col min="12" max="16384" width="8.88671875" style="19"/>
  </cols>
  <sheetData>
    <row r="1" spans="1:18" x14ac:dyDescent="0.25">
      <c r="A1" s="24" t="s">
        <v>35</v>
      </c>
      <c r="B1" s="22" t="s">
        <v>36</v>
      </c>
      <c r="C1" s="22" t="s">
        <v>37</v>
      </c>
      <c r="D1" s="22" t="s">
        <v>38</v>
      </c>
      <c r="E1" s="22" t="s">
        <v>39</v>
      </c>
      <c r="F1" s="22" t="s">
        <v>40</v>
      </c>
      <c r="G1" s="22" t="s">
        <v>41</v>
      </c>
      <c r="H1" s="22" t="s">
        <v>42</v>
      </c>
      <c r="I1" s="22" t="s">
        <v>43</v>
      </c>
      <c r="J1" s="22" t="s">
        <v>44</v>
      </c>
      <c r="K1" s="22" t="s">
        <v>45</v>
      </c>
      <c r="L1" s="22" t="s">
        <v>46</v>
      </c>
      <c r="M1" s="22" t="s">
        <v>47</v>
      </c>
      <c r="N1" s="22" t="s">
        <v>48</v>
      </c>
      <c r="O1" s="22" t="s">
        <v>49</v>
      </c>
      <c r="P1" s="22" t="s">
        <v>50</v>
      </c>
      <c r="Q1" s="22" t="s">
        <v>51</v>
      </c>
      <c r="R1" s="23" t="s">
        <v>52</v>
      </c>
    </row>
    <row r="2" spans="1:18" x14ac:dyDescent="0.25">
      <c r="A2" s="27" t="s">
        <v>72</v>
      </c>
      <c r="B2" s="20" t="s">
        <v>53</v>
      </c>
      <c r="C2" s="25" t="s">
        <v>54</v>
      </c>
      <c r="D2" s="25"/>
      <c r="E2" s="25"/>
      <c r="F2" s="20" t="s">
        <v>55</v>
      </c>
      <c r="G2" s="20" t="s">
        <v>56</v>
      </c>
      <c r="H2" s="20" t="s">
        <v>57</v>
      </c>
      <c r="I2" s="20" t="s">
        <v>58</v>
      </c>
      <c r="J2" s="25">
        <v>0</v>
      </c>
      <c r="K2" s="25" t="s">
        <v>73</v>
      </c>
      <c r="L2" s="25">
        <v>0</v>
      </c>
      <c r="M2" s="25">
        <v>0</v>
      </c>
      <c r="N2" s="25">
        <v>1</v>
      </c>
      <c r="O2" s="20">
        <v>2</v>
      </c>
      <c r="P2" s="25"/>
      <c r="Q2" s="25"/>
      <c r="R2" s="29"/>
    </row>
    <row r="3" spans="1:18" x14ac:dyDescent="0.25">
      <c r="A3" s="27" t="s">
        <v>72</v>
      </c>
      <c r="B3" s="20" t="s">
        <v>59</v>
      </c>
      <c r="C3" s="25" t="s">
        <v>54</v>
      </c>
      <c r="D3" s="25"/>
      <c r="E3" s="25"/>
      <c r="F3" s="20" t="s">
        <v>55</v>
      </c>
      <c r="G3" s="20" t="s">
        <v>56</v>
      </c>
      <c r="H3" s="20" t="s">
        <v>60</v>
      </c>
      <c r="I3" s="20" t="s">
        <v>61</v>
      </c>
      <c r="J3" s="25">
        <v>0</v>
      </c>
      <c r="K3" s="25" t="s">
        <v>73</v>
      </c>
      <c r="L3" s="25">
        <v>0</v>
      </c>
      <c r="M3" s="25">
        <v>0</v>
      </c>
      <c r="N3" s="25">
        <v>1</v>
      </c>
      <c r="O3" s="20">
        <v>2</v>
      </c>
      <c r="P3" s="25"/>
      <c r="Q3" s="25"/>
      <c r="R3" s="29"/>
    </row>
    <row r="4" spans="1:18" x14ac:dyDescent="0.25">
      <c r="A4" s="27" t="s">
        <v>72</v>
      </c>
      <c r="B4" s="20" t="s">
        <v>53</v>
      </c>
      <c r="C4" s="25" t="s">
        <v>54</v>
      </c>
      <c r="D4" s="25"/>
      <c r="E4" s="25"/>
      <c r="F4" s="20" t="s">
        <v>55</v>
      </c>
      <c r="G4" s="20" t="s">
        <v>56</v>
      </c>
      <c r="H4" s="20" t="s">
        <v>62</v>
      </c>
      <c r="I4" s="20" t="s">
        <v>63</v>
      </c>
      <c r="J4" s="25">
        <v>0</v>
      </c>
      <c r="K4" s="25" t="s">
        <v>73</v>
      </c>
      <c r="L4" s="25">
        <v>0</v>
      </c>
      <c r="M4" s="25">
        <v>0</v>
      </c>
      <c r="N4" s="25">
        <v>1</v>
      </c>
      <c r="O4" s="20">
        <v>2</v>
      </c>
      <c r="P4" s="25"/>
      <c r="Q4" s="25"/>
      <c r="R4" s="29"/>
    </row>
    <row r="5" spans="1:18" x14ac:dyDescent="0.25">
      <c r="A5" s="27" t="s">
        <v>72</v>
      </c>
      <c r="B5" s="20" t="s">
        <v>53</v>
      </c>
      <c r="C5" s="25" t="s">
        <v>54</v>
      </c>
      <c r="D5" s="25"/>
      <c r="E5" s="25"/>
      <c r="F5" s="20" t="s">
        <v>55</v>
      </c>
      <c r="G5" s="20" t="s">
        <v>56</v>
      </c>
      <c r="H5" s="20" t="s">
        <v>64</v>
      </c>
      <c r="I5" s="20" t="s">
        <v>65</v>
      </c>
      <c r="J5" s="25">
        <v>0</v>
      </c>
      <c r="K5" s="25" t="s">
        <v>73</v>
      </c>
      <c r="L5" s="25">
        <v>0</v>
      </c>
      <c r="M5" s="25">
        <v>0</v>
      </c>
      <c r="N5" s="25">
        <v>1</v>
      </c>
      <c r="O5" s="20">
        <v>2</v>
      </c>
      <c r="P5" s="25"/>
      <c r="Q5" s="25"/>
      <c r="R5" s="29"/>
    </row>
    <row r="6" spans="1:18" x14ac:dyDescent="0.25">
      <c r="A6" s="27" t="s">
        <v>72</v>
      </c>
      <c r="B6" s="20" t="s">
        <v>53</v>
      </c>
      <c r="C6" s="25" t="s">
        <v>54</v>
      </c>
      <c r="D6" s="25"/>
      <c r="E6" s="25"/>
      <c r="F6" s="20" t="s">
        <v>55</v>
      </c>
      <c r="G6" s="20" t="s">
        <v>56</v>
      </c>
      <c r="H6" s="20" t="s">
        <v>66</v>
      </c>
      <c r="I6" s="20" t="s">
        <v>67</v>
      </c>
      <c r="J6" s="25">
        <v>0</v>
      </c>
      <c r="K6" s="25" t="s">
        <v>73</v>
      </c>
      <c r="L6" s="25">
        <v>0</v>
      </c>
      <c r="M6" s="25">
        <v>0</v>
      </c>
      <c r="N6" s="25">
        <v>1</v>
      </c>
      <c r="O6" s="20">
        <v>2</v>
      </c>
      <c r="P6" s="25"/>
      <c r="Q6" s="25"/>
      <c r="R6" s="29"/>
    </row>
    <row r="7" spans="1:18" x14ac:dyDescent="0.25">
      <c r="A7" s="27" t="s">
        <v>72</v>
      </c>
      <c r="B7" s="20" t="s">
        <v>53</v>
      </c>
      <c r="C7" s="25" t="s">
        <v>54</v>
      </c>
      <c r="D7" s="25"/>
      <c r="E7" s="25"/>
      <c r="F7" s="20" t="s">
        <v>68</v>
      </c>
      <c r="G7" s="20" t="s">
        <v>69</v>
      </c>
      <c r="H7" s="20" t="s">
        <v>57</v>
      </c>
      <c r="I7" s="20" t="s">
        <v>58</v>
      </c>
      <c r="J7" s="25">
        <v>0</v>
      </c>
      <c r="K7" s="25" t="s">
        <v>73</v>
      </c>
      <c r="L7" s="25">
        <v>0</v>
      </c>
      <c r="M7" s="25">
        <v>0</v>
      </c>
      <c r="N7" s="25">
        <v>1</v>
      </c>
      <c r="O7" s="20">
        <v>2</v>
      </c>
      <c r="P7" s="25"/>
      <c r="Q7" s="25"/>
      <c r="R7" s="29"/>
    </row>
    <row r="8" spans="1:18" x14ac:dyDescent="0.25">
      <c r="A8" s="27" t="s">
        <v>72</v>
      </c>
      <c r="B8" s="20" t="s">
        <v>53</v>
      </c>
      <c r="C8" s="25" t="s">
        <v>54</v>
      </c>
      <c r="D8" s="25"/>
      <c r="E8" s="25"/>
      <c r="F8" s="20" t="s">
        <v>68</v>
      </c>
      <c r="G8" s="20" t="s">
        <v>69</v>
      </c>
      <c r="H8" s="20" t="s">
        <v>60</v>
      </c>
      <c r="I8" s="20" t="s">
        <v>61</v>
      </c>
      <c r="J8" s="25">
        <v>0</v>
      </c>
      <c r="K8" s="25" t="s">
        <v>73</v>
      </c>
      <c r="L8" s="25">
        <v>0</v>
      </c>
      <c r="M8" s="25">
        <v>0</v>
      </c>
      <c r="N8" s="25">
        <v>1</v>
      </c>
      <c r="O8" s="20">
        <v>2</v>
      </c>
      <c r="P8" s="25"/>
      <c r="Q8" s="25"/>
      <c r="R8" s="29"/>
    </row>
    <row r="9" spans="1:18" x14ac:dyDescent="0.25">
      <c r="A9" s="27" t="s">
        <v>72</v>
      </c>
      <c r="B9" s="20" t="s">
        <v>53</v>
      </c>
      <c r="C9" s="25" t="s">
        <v>54</v>
      </c>
      <c r="D9" s="25"/>
      <c r="E9" s="25"/>
      <c r="F9" s="20" t="s">
        <v>68</v>
      </c>
      <c r="G9" s="20" t="s">
        <v>69</v>
      </c>
      <c r="H9" s="20" t="s">
        <v>62</v>
      </c>
      <c r="I9" s="20" t="s">
        <v>63</v>
      </c>
      <c r="J9" s="25">
        <v>0</v>
      </c>
      <c r="K9" s="25" t="s">
        <v>73</v>
      </c>
      <c r="L9" s="25">
        <v>0</v>
      </c>
      <c r="M9" s="25">
        <v>0</v>
      </c>
      <c r="N9" s="25">
        <v>1</v>
      </c>
      <c r="O9" s="20">
        <v>2</v>
      </c>
      <c r="P9" s="25"/>
      <c r="Q9" s="25"/>
      <c r="R9" s="29"/>
    </row>
    <row r="10" spans="1:18" x14ac:dyDescent="0.25">
      <c r="A10" s="27" t="s">
        <v>72</v>
      </c>
      <c r="B10" s="20" t="s">
        <v>53</v>
      </c>
      <c r="C10" s="25" t="s">
        <v>54</v>
      </c>
      <c r="D10" s="25"/>
      <c r="E10" s="25"/>
      <c r="F10" s="20" t="s">
        <v>68</v>
      </c>
      <c r="G10" s="20" t="s">
        <v>69</v>
      </c>
      <c r="H10" s="20" t="s">
        <v>64</v>
      </c>
      <c r="I10" s="20" t="s">
        <v>65</v>
      </c>
      <c r="J10" s="25">
        <v>0</v>
      </c>
      <c r="K10" s="25" t="s">
        <v>73</v>
      </c>
      <c r="L10" s="25">
        <v>0</v>
      </c>
      <c r="M10" s="25">
        <v>0</v>
      </c>
      <c r="N10" s="25">
        <v>1</v>
      </c>
      <c r="O10" s="20">
        <v>2</v>
      </c>
      <c r="P10" s="25"/>
      <c r="Q10" s="25"/>
      <c r="R10" s="29"/>
    </row>
    <row r="11" spans="1:18" x14ac:dyDescent="0.25">
      <c r="A11" s="27" t="s">
        <v>72</v>
      </c>
      <c r="B11" s="20" t="s">
        <v>53</v>
      </c>
      <c r="C11" s="25" t="s">
        <v>54</v>
      </c>
      <c r="D11" s="25"/>
      <c r="E11" s="25"/>
      <c r="F11" s="20" t="s">
        <v>68</v>
      </c>
      <c r="G11" s="20" t="s">
        <v>69</v>
      </c>
      <c r="H11" s="20" t="s">
        <v>66</v>
      </c>
      <c r="I11" s="20" t="s">
        <v>67</v>
      </c>
      <c r="J11" s="25">
        <v>0</v>
      </c>
      <c r="K11" s="25" t="s">
        <v>73</v>
      </c>
      <c r="L11" s="25">
        <v>0</v>
      </c>
      <c r="M11" s="25">
        <v>0</v>
      </c>
      <c r="N11" s="25">
        <v>1</v>
      </c>
      <c r="O11" s="20">
        <v>2</v>
      </c>
      <c r="P11" s="25"/>
      <c r="Q11" s="25"/>
      <c r="R11" s="29"/>
    </row>
    <row r="12" spans="1:18" x14ac:dyDescent="0.25">
      <c r="A12" s="27" t="s">
        <v>72</v>
      </c>
      <c r="B12" s="20" t="s">
        <v>53</v>
      </c>
      <c r="C12" s="25" t="s">
        <v>54</v>
      </c>
      <c r="D12" s="25"/>
      <c r="E12" s="25"/>
      <c r="F12" s="20" t="s">
        <v>70</v>
      </c>
      <c r="G12" s="20" t="s">
        <v>71</v>
      </c>
      <c r="H12" s="20" t="s">
        <v>57</v>
      </c>
      <c r="I12" s="20" t="s">
        <v>58</v>
      </c>
      <c r="J12" s="25">
        <v>0</v>
      </c>
      <c r="K12" s="25" t="s">
        <v>73</v>
      </c>
      <c r="L12" s="25">
        <v>0</v>
      </c>
      <c r="M12" s="25">
        <v>0</v>
      </c>
      <c r="N12" s="25">
        <v>1</v>
      </c>
      <c r="O12" s="20">
        <v>2</v>
      </c>
      <c r="P12" s="25"/>
      <c r="Q12" s="25"/>
      <c r="R12" s="29"/>
    </row>
    <row r="13" spans="1:18" x14ac:dyDescent="0.25">
      <c r="A13" s="27" t="s">
        <v>72</v>
      </c>
      <c r="B13" s="20" t="s">
        <v>53</v>
      </c>
      <c r="C13" s="25" t="s">
        <v>54</v>
      </c>
      <c r="D13" s="25"/>
      <c r="E13" s="25"/>
      <c r="F13" s="20" t="s">
        <v>70</v>
      </c>
      <c r="G13" s="20" t="s">
        <v>71</v>
      </c>
      <c r="H13" s="20" t="s">
        <v>60</v>
      </c>
      <c r="I13" s="20" t="s">
        <v>61</v>
      </c>
      <c r="J13" s="25">
        <v>0</v>
      </c>
      <c r="K13" s="25" t="s">
        <v>73</v>
      </c>
      <c r="L13" s="25">
        <v>0</v>
      </c>
      <c r="M13" s="25">
        <v>0</v>
      </c>
      <c r="N13" s="25">
        <v>1</v>
      </c>
      <c r="O13" s="20">
        <v>2</v>
      </c>
      <c r="P13" s="25"/>
      <c r="Q13" s="25"/>
      <c r="R13" s="29"/>
    </row>
    <row r="14" spans="1:18" x14ac:dyDescent="0.25">
      <c r="A14" s="27" t="s">
        <v>72</v>
      </c>
      <c r="B14" s="20" t="s">
        <v>53</v>
      </c>
      <c r="C14" s="25" t="s">
        <v>54</v>
      </c>
      <c r="D14" s="25"/>
      <c r="E14" s="25"/>
      <c r="F14" s="20" t="s">
        <v>70</v>
      </c>
      <c r="G14" s="20" t="s">
        <v>71</v>
      </c>
      <c r="H14" s="20" t="s">
        <v>62</v>
      </c>
      <c r="I14" s="20" t="s">
        <v>63</v>
      </c>
      <c r="J14" s="25">
        <v>0</v>
      </c>
      <c r="K14" s="25" t="s">
        <v>73</v>
      </c>
      <c r="L14" s="25">
        <v>0</v>
      </c>
      <c r="M14" s="25">
        <v>0</v>
      </c>
      <c r="N14" s="25">
        <v>1</v>
      </c>
      <c r="O14" s="20">
        <v>2</v>
      </c>
      <c r="P14" s="25"/>
      <c r="Q14" s="25"/>
      <c r="R14" s="29"/>
    </row>
    <row r="15" spans="1:18" x14ac:dyDescent="0.25">
      <c r="A15" s="27" t="s">
        <v>72</v>
      </c>
      <c r="B15" s="20" t="s">
        <v>53</v>
      </c>
      <c r="C15" s="25" t="s">
        <v>54</v>
      </c>
      <c r="D15" s="25"/>
      <c r="E15" s="25"/>
      <c r="F15" s="20" t="s">
        <v>70</v>
      </c>
      <c r="G15" s="20" t="s">
        <v>71</v>
      </c>
      <c r="H15" s="20" t="s">
        <v>64</v>
      </c>
      <c r="I15" s="20" t="s">
        <v>65</v>
      </c>
      <c r="J15" s="25">
        <v>0</v>
      </c>
      <c r="K15" s="25" t="s">
        <v>73</v>
      </c>
      <c r="L15" s="25">
        <v>0</v>
      </c>
      <c r="M15" s="25">
        <v>0</v>
      </c>
      <c r="N15" s="25">
        <v>1</v>
      </c>
      <c r="O15" s="20">
        <v>2</v>
      </c>
      <c r="P15" s="25"/>
      <c r="Q15" s="25"/>
      <c r="R15" s="29"/>
    </row>
    <row r="16" spans="1:18" x14ac:dyDescent="0.25">
      <c r="A16" s="28" t="s">
        <v>72</v>
      </c>
      <c r="B16" s="21" t="s">
        <v>53</v>
      </c>
      <c r="C16" s="26" t="s">
        <v>54</v>
      </c>
      <c r="D16" s="26"/>
      <c r="E16" s="26"/>
      <c r="F16" s="21" t="s">
        <v>70</v>
      </c>
      <c r="G16" s="21" t="s">
        <v>71</v>
      </c>
      <c r="H16" s="21" t="s">
        <v>66</v>
      </c>
      <c r="I16" s="21" t="s">
        <v>67</v>
      </c>
      <c r="J16" s="26">
        <v>0</v>
      </c>
      <c r="K16" s="26" t="s">
        <v>73</v>
      </c>
      <c r="L16" s="26">
        <v>0</v>
      </c>
      <c r="M16" s="26">
        <v>0</v>
      </c>
      <c r="N16" s="26">
        <v>1</v>
      </c>
      <c r="O16" s="21">
        <v>2</v>
      </c>
      <c r="P16" s="26"/>
      <c r="Q16" s="26"/>
      <c r="R16" s="30"/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B3F3B-CA83-4136-A8E4-04857D23D6F5}">
  <sheetPr codeName="Sheet6"/>
  <dimension ref="A1:R16"/>
  <sheetViews>
    <sheetView workbookViewId="0">
      <selection activeCell="K1" sqref="K1"/>
    </sheetView>
  </sheetViews>
  <sheetFormatPr defaultRowHeight="18.75" x14ac:dyDescent="0.25"/>
  <cols>
    <col min="1" max="1" width="11.77734375" style="19" customWidth="1"/>
    <col min="2" max="2" width="9.6640625" style="19" customWidth="1"/>
    <col min="3" max="7" width="8.88671875" style="19"/>
    <col min="8" max="8" width="15" style="19" customWidth="1"/>
    <col min="9" max="10" width="8.88671875" style="19"/>
    <col min="11" max="11" width="10.88671875" style="19" customWidth="1"/>
    <col min="12" max="16384" width="8.88671875" style="19"/>
  </cols>
  <sheetData>
    <row r="1" spans="1:18" x14ac:dyDescent="0.25">
      <c r="A1" s="24" t="s">
        <v>35</v>
      </c>
      <c r="B1" s="22" t="s">
        <v>36</v>
      </c>
      <c r="C1" s="22" t="s">
        <v>37</v>
      </c>
      <c r="D1" s="22" t="s">
        <v>38</v>
      </c>
      <c r="E1" s="22" t="s">
        <v>39</v>
      </c>
      <c r="F1" s="22" t="s">
        <v>40</v>
      </c>
      <c r="G1" s="22" t="s">
        <v>41</v>
      </c>
      <c r="H1" s="22" t="s">
        <v>42</v>
      </c>
      <c r="I1" s="22" t="s">
        <v>43</v>
      </c>
      <c r="J1" s="22" t="s">
        <v>44</v>
      </c>
      <c r="K1" s="22" t="s">
        <v>45</v>
      </c>
      <c r="L1" s="22" t="s">
        <v>46</v>
      </c>
      <c r="M1" s="22" t="s">
        <v>47</v>
      </c>
      <c r="N1" s="22" t="s">
        <v>48</v>
      </c>
      <c r="O1" s="22" t="s">
        <v>49</v>
      </c>
      <c r="P1" s="22" t="s">
        <v>50</v>
      </c>
      <c r="Q1" s="22" t="s">
        <v>51</v>
      </c>
      <c r="R1" s="23" t="s">
        <v>52</v>
      </c>
    </row>
    <row r="2" spans="1:18" x14ac:dyDescent="0.25">
      <c r="A2" s="27" t="s">
        <v>72</v>
      </c>
      <c r="B2" s="20" t="s">
        <v>53</v>
      </c>
      <c r="C2" s="25" t="s">
        <v>54</v>
      </c>
      <c r="D2" s="25"/>
      <c r="E2" s="25"/>
      <c r="F2" s="20" t="s">
        <v>55</v>
      </c>
      <c r="G2" s="20" t="s">
        <v>56</v>
      </c>
      <c r="H2" s="20" t="s">
        <v>57</v>
      </c>
      <c r="I2" s="20" t="s">
        <v>58</v>
      </c>
      <c r="J2" s="25">
        <v>0</v>
      </c>
      <c r="K2" s="25" t="s">
        <v>73</v>
      </c>
      <c r="L2" s="25">
        <v>0</v>
      </c>
      <c r="M2" s="25">
        <v>0</v>
      </c>
      <c r="N2" s="25">
        <v>1</v>
      </c>
      <c r="O2" s="20">
        <v>2</v>
      </c>
      <c r="P2" s="25"/>
      <c r="Q2" s="25"/>
      <c r="R2" s="29"/>
    </row>
    <row r="3" spans="1:18" x14ac:dyDescent="0.25">
      <c r="A3" s="27" t="s">
        <v>72</v>
      </c>
      <c r="B3" s="20" t="s">
        <v>59</v>
      </c>
      <c r="C3" s="25" t="s">
        <v>54</v>
      </c>
      <c r="D3" s="25"/>
      <c r="E3" s="25"/>
      <c r="F3" s="20" t="s">
        <v>55</v>
      </c>
      <c r="G3" s="20" t="s">
        <v>56</v>
      </c>
      <c r="H3" s="20" t="s">
        <v>60</v>
      </c>
      <c r="I3" s="20" t="s">
        <v>61</v>
      </c>
      <c r="J3" s="25">
        <v>0</v>
      </c>
      <c r="K3" s="25" t="s">
        <v>73</v>
      </c>
      <c r="L3" s="25">
        <v>0</v>
      </c>
      <c r="M3" s="25">
        <v>0</v>
      </c>
      <c r="N3" s="25">
        <v>1</v>
      </c>
      <c r="O3" s="20">
        <v>2</v>
      </c>
      <c r="P3" s="25"/>
      <c r="Q3" s="25"/>
      <c r="R3" s="29"/>
    </row>
    <row r="4" spans="1:18" x14ac:dyDescent="0.25">
      <c r="A4" s="27" t="s">
        <v>72</v>
      </c>
      <c r="B4" s="20" t="s">
        <v>53</v>
      </c>
      <c r="C4" s="25" t="s">
        <v>54</v>
      </c>
      <c r="D4" s="25"/>
      <c r="E4" s="25"/>
      <c r="F4" s="20" t="s">
        <v>55</v>
      </c>
      <c r="G4" s="20" t="s">
        <v>56</v>
      </c>
      <c r="H4" s="20" t="s">
        <v>62</v>
      </c>
      <c r="I4" s="20" t="s">
        <v>63</v>
      </c>
      <c r="J4" s="25">
        <v>0</v>
      </c>
      <c r="K4" s="25" t="s">
        <v>73</v>
      </c>
      <c r="L4" s="25">
        <v>0</v>
      </c>
      <c r="M4" s="25">
        <v>0</v>
      </c>
      <c r="N4" s="25">
        <v>1</v>
      </c>
      <c r="O4" s="20">
        <v>2</v>
      </c>
      <c r="P4" s="25"/>
      <c r="Q4" s="25"/>
      <c r="R4" s="29"/>
    </row>
    <row r="5" spans="1:18" x14ac:dyDescent="0.25">
      <c r="A5" s="27" t="s">
        <v>72</v>
      </c>
      <c r="B5" s="20" t="s">
        <v>53</v>
      </c>
      <c r="C5" s="25" t="s">
        <v>54</v>
      </c>
      <c r="D5" s="25"/>
      <c r="E5" s="25"/>
      <c r="F5" s="20" t="s">
        <v>55</v>
      </c>
      <c r="G5" s="20" t="s">
        <v>56</v>
      </c>
      <c r="H5" s="20" t="s">
        <v>64</v>
      </c>
      <c r="I5" s="20" t="s">
        <v>65</v>
      </c>
      <c r="J5" s="25">
        <v>0</v>
      </c>
      <c r="K5" s="25" t="s">
        <v>73</v>
      </c>
      <c r="L5" s="25">
        <v>0</v>
      </c>
      <c r="M5" s="25">
        <v>0</v>
      </c>
      <c r="N5" s="25">
        <v>1</v>
      </c>
      <c r="O5" s="20">
        <v>2</v>
      </c>
      <c r="P5" s="25"/>
      <c r="Q5" s="25"/>
      <c r="R5" s="29"/>
    </row>
    <row r="6" spans="1:18" x14ac:dyDescent="0.25">
      <c r="A6" s="27" t="s">
        <v>72</v>
      </c>
      <c r="B6" s="20" t="s">
        <v>53</v>
      </c>
      <c r="C6" s="25" t="s">
        <v>54</v>
      </c>
      <c r="D6" s="25"/>
      <c r="E6" s="25"/>
      <c r="F6" s="20" t="s">
        <v>55</v>
      </c>
      <c r="G6" s="20" t="s">
        <v>56</v>
      </c>
      <c r="H6" s="20" t="s">
        <v>66</v>
      </c>
      <c r="I6" s="20" t="s">
        <v>67</v>
      </c>
      <c r="J6" s="25">
        <v>0</v>
      </c>
      <c r="K6" s="25" t="s">
        <v>73</v>
      </c>
      <c r="L6" s="25">
        <v>0</v>
      </c>
      <c r="M6" s="25">
        <v>0</v>
      </c>
      <c r="N6" s="25">
        <v>1</v>
      </c>
      <c r="O6" s="20">
        <v>2</v>
      </c>
      <c r="P6" s="25"/>
      <c r="Q6" s="25"/>
      <c r="R6" s="29"/>
    </row>
    <row r="7" spans="1:18" x14ac:dyDescent="0.25">
      <c r="A7" s="27" t="s">
        <v>72</v>
      </c>
      <c r="B7" s="20" t="s">
        <v>53</v>
      </c>
      <c r="C7" s="25" t="s">
        <v>54</v>
      </c>
      <c r="D7" s="25"/>
      <c r="E7" s="25"/>
      <c r="F7" s="20" t="s">
        <v>68</v>
      </c>
      <c r="G7" s="20" t="s">
        <v>69</v>
      </c>
      <c r="H7" s="20" t="s">
        <v>57</v>
      </c>
      <c r="I7" s="20" t="s">
        <v>58</v>
      </c>
      <c r="J7" s="25">
        <v>0</v>
      </c>
      <c r="K7" s="25" t="s">
        <v>73</v>
      </c>
      <c r="L7" s="25">
        <v>0</v>
      </c>
      <c r="M7" s="25">
        <v>0</v>
      </c>
      <c r="N7" s="25">
        <v>1</v>
      </c>
      <c r="O7" s="20">
        <v>2</v>
      </c>
      <c r="P7" s="25"/>
      <c r="Q7" s="25"/>
      <c r="R7" s="29"/>
    </row>
    <row r="8" spans="1:18" x14ac:dyDescent="0.25">
      <c r="A8" s="27" t="s">
        <v>72</v>
      </c>
      <c r="B8" s="20" t="s">
        <v>53</v>
      </c>
      <c r="C8" s="25" t="s">
        <v>54</v>
      </c>
      <c r="D8" s="25"/>
      <c r="E8" s="25"/>
      <c r="F8" s="20" t="s">
        <v>68</v>
      </c>
      <c r="G8" s="20" t="s">
        <v>69</v>
      </c>
      <c r="H8" s="20" t="s">
        <v>60</v>
      </c>
      <c r="I8" s="20" t="s">
        <v>61</v>
      </c>
      <c r="J8" s="25">
        <v>0</v>
      </c>
      <c r="K8" s="25" t="s">
        <v>73</v>
      </c>
      <c r="L8" s="25">
        <v>0</v>
      </c>
      <c r="M8" s="25">
        <v>0</v>
      </c>
      <c r="N8" s="25">
        <v>1</v>
      </c>
      <c r="O8" s="20">
        <v>2</v>
      </c>
      <c r="P8" s="25"/>
      <c r="Q8" s="25"/>
      <c r="R8" s="29"/>
    </row>
    <row r="9" spans="1:18" x14ac:dyDescent="0.25">
      <c r="A9" s="27" t="s">
        <v>72</v>
      </c>
      <c r="B9" s="20" t="s">
        <v>53</v>
      </c>
      <c r="C9" s="25" t="s">
        <v>54</v>
      </c>
      <c r="D9" s="25"/>
      <c r="E9" s="25"/>
      <c r="F9" s="20" t="s">
        <v>68</v>
      </c>
      <c r="G9" s="20" t="s">
        <v>69</v>
      </c>
      <c r="H9" s="20" t="s">
        <v>62</v>
      </c>
      <c r="I9" s="20" t="s">
        <v>63</v>
      </c>
      <c r="J9" s="25">
        <v>0</v>
      </c>
      <c r="K9" s="25" t="s">
        <v>73</v>
      </c>
      <c r="L9" s="25">
        <v>0</v>
      </c>
      <c r="M9" s="25">
        <v>0</v>
      </c>
      <c r="N9" s="25">
        <v>1</v>
      </c>
      <c r="O9" s="20">
        <v>2</v>
      </c>
      <c r="P9" s="25"/>
      <c r="Q9" s="25"/>
      <c r="R9" s="29"/>
    </row>
    <row r="10" spans="1:18" x14ac:dyDescent="0.25">
      <c r="A10" s="27" t="s">
        <v>72</v>
      </c>
      <c r="B10" s="20" t="s">
        <v>53</v>
      </c>
      <c r="C10" s="25" t="s">
        <v>54</v>
      </c>
      <c r="D10" s="25"/>
      <c r="E10" s="25"/>
      <c r="F10" s="20" t="s">
        <v>68</v>
      </c>
      <c r="G10" s="20" t="s">
        <v>69</v>
      </c>
      <c r="H10" s="20" t="s">
        <v>64</v>
      </c>
      <c r="I10" s="20" t="s">
        <v>65</v>
      </c>
      <c r="J10" s="25">
        <v>0</v>
      </c>
      <c r="K10" s="25" t="s">
        <v>73</v>
      </c>
      <c r="L10" s="25">
        <v>0</v>
      </c>
      <c r="M10" s="25">
        <v>0</v>
      </c>
      <c r="N10" s="25">
        <v>1</v>
      </c>
      <c r="O10" s="20">
        <v>2</v>
      </c>
      <c r="P10" s="25"/>
      <c r="Q10" s="25"/>
      <c r="R10" s="29"/>
    </row>
    <row r="11" spans="1:18" x14ac:dyDescent="0.25">
      <c r="A11" s="27" t="s">
        <v>72</v>
      </c>
      <c r="B11" s="20" t="s">
        <v>53</v>
      </c>
      <c r="C11" s="25" t="s">
        <v>54</v>
      </c>
      <c r="D11" s="25"/>
      <c r="E11" s="25"/>
      <c r="F11" s="20" t="s">
        <v>68</v>
      </c>
      <c r="G11" s="20" t="s">
        <v>69</v>
      </c>
      <c r="H11" s="20" t="s">
        <v>66</v>
      </c>
      <c r="I11" s="20" t="s">
        <v>67</v>
      </c>
      <c r="J11" s="25">
        <v>0</v>
      </c>
      <c r="K11" s="25" t="s">
        <v>73</v>
      </c>
      <c r="L11" s="25">
        <v>0</v>
      </c>
      <c r="M11" s="25">
        <v>0</v>
      </c>
      <c r="N11" s="25">
        <v>1</v>
      </c>
      <c r="O11" s="20">
        <v>2</v>
      </c>
      <c r="P11" s="25"/>
      <c r="Q11" s="25"/>
      <c r="R11" s="29"/>
    </row>
    <row r="12" spans="1:18" x14ac:dyDescent="0.25">
      <c r="A12" s="27" t="s">
        <v>72</v>
      </c>
      <c r="B12" s="20" t="s">
        <v>53</v>
      </c>
      <c r="C12" s="25" t="s">
        <v>54</v>
      </c>
      <c r="D12" s="25"/>
      <c r="E12" s="25"/>
      <c r="F12" s="20" t="s">
        <v>70</v>
      </c>
      <c r="G12" s="20" t="s">
        <v>71</v>
      </c>
      <c r="H12" s="20" t="s">
        <v>57</v>
      </c>
      <c r="I12" s="20" t="s">
        <v>58</v>
      </c>
      <c r="J12" s="25">
        <v>0</v>
      </c>
      <c r="K12" s="25" t="s">
        <v>73</v>
      </c>
      <c r="L12" s="25">
        <v>0</v>
      </c>
      <c r="M12" s="25">
        <v>0</v>
      </c>
      <c r="N12" s="25">
        <v>1</v>
      </c>
      <c r="O12" s="20">
        <v>2</v>
      </c>
      <c r="P12" s="25"/>
      <c r="Q12" s="25"/>
      <c r="R12" s="29"/>
    </row>
    <row r="13" spans="1:18" x14ac:dyDescent="0.25">
      <c r="A13" s="27" t="s">
        <v>72</v>
      </c>
      <c r="B13" s="20" t="s">
        <v>53</v>
      </c>
      <c r="C13" s="25" t="s">
        <v>54</v>
      </c>
      <c r="D13" s="25"/>
      <c r="E13" s="25"/>
      <c r="F13" s="20" t="s">
        <v>70</v>
      </c>
      <c r="G13" s="20" t="s">
        <v>71</v>
      </c>
      <c r="H13" s="20" t="s">
        <v>60</v>
      </c>
      <c r="I13" s="20" t="s">
        <v>61</v>
      </c>
      <c r="J13" s="25">
        <v>0</v>
      </c>
      <c r="K13" s="25" t="s">
        <v>73</v>
      </c>
      <c r="L13" s="25">
        <v>0</v>
      </c>
      <c r="M13" s="25">
        <v>0</v>
      </c>
      <c r="N13" s="25">
        <v>1</v>
      </c>
      <c r="O13" s="20">
        <v>2</v>
      </c>
      <c r="P13" s="25"/>
      <c r="Q13" s="25"/>
      <c r="R13" s="29"/>
    </row>
    <row r="14" spans="1:18" x14ac:dyDescent="0.25">
      <c r="A14" s="27" t="s">
        <v>72</v>
      </c>
      <c r="B14" s="20" t="s">
        <v>53</v>
      </c>
      <c r="C14" s="25" t="s">
        <v>54</v>
      </c>
      <c r="D14" s="25"/>
      <c r="E14" s="25"/>
      <c r="F14" s="20" t="s">
        <v>70</v>
      </c>
      <c r="G14" s="20" t="s">
        <v>71</v>
      </c>
      <c r="H14" s="20" t="s">
        <v>62</v>
      </c>
      <c r="I14" s="20" t="s">
        <v>63</v>
      </c>
      <c r="J14" s="25">
        <v>0</v>
      </c>
      <c r="K14" s="25" t="s">
        <v>73</v>
      </c>
      <c r="L14" s="25">
        <v>0</v>
      </c>
      <c r="M14" s="25">
        <v>0</v>
      </c>
      <c r="N14" s="25">
        <v>1</v>
      </c>
      <c r="O14" s="20">
        <v>2</v>
      </c>
      <c r="P14" s="25"/>
      <c r="Q14" s="25"/>
      <c r="R14" s="29"/>
    </row>
    <row r="15" spans="1:18" x14ac:dyDescent="0.25">
      <c r="A15" s="27" t="s">
        <v>72</v>
      </c>
      <c r="B15" s="20" t="s">
        <v>53</v>
      </c>
      <c r="C15" s="25" t="s">
        <v>54</v>
      </c>
      <c r="D15" s="25"/>
      <c r="E15" s="25"/>
      <c r="F15" s="20" t="s">
        <v>70</v>
      </c>
      <c r="G15" s="20" t="s">
        <v>71</v>
      </c>
      <c r="H15" s="20" t="s">
        <v>64</v>
      </c>
      <c r="I15" s="20" t="s">
        <v>65</v>
      </c>
      <c r="J15" s="25">
        <v>0</v>
      </c>
      <c r="K15" s="25" t="s">
        <v>73</v>
      </c>
      <c r="L15" s="25">
        <v>0</v>
      </c>
      <c r="M15" s="25">
        <v>0</v>
      </c>
      <c r="N15" s="25">
        <v>1</v>
      </c>
      <c r="O15" s="20">
        <v>2</v>
      </c>
      <c r="P15" s="25"/>
      <c r="Q15" s="25"/>
      <c r="R15" s="29"/>
    </row>
    <row r="16" spans="1:18" x14ac:dyDescent="0.25">
      <c r="A16" s="28" t="s">
        <v>72</v>
      </c>
      <c r="B16" s="21" t="s">
        <v>53</v>
      </c>
      <c r="C16" s="26" t="s">
        <v>54</v>
      </c>
      <c r="D16" s="26"/>
      <c r="E16" s="26"/>
      <c r="F16" s="21" t="s">
        <v>70</v>
      </c>
      <c r="G16" s="21" t="s">
        <v>71</v>
      </c>
      <c r="H16" s="21" t="s">
        <v>66</v>
      </c>
      <c r="I16" s="21" t="s">
        <v>67</v>
      </c>
      <c r="J16" s="26">
        <v>0</v>
      </c>
      <c r="K16" s="26" t="s">
        <v>73</v>
      </c>
      <c r="L16" s="26">
        <v>0</v>
      </c>
      <c r="M16" s="26">
        <v>0</v>
      </c>
      <c r="N16" s="26">
        <v>1</v>
      </c>
      <c r="O16" s="21">
        <v>2</v>
      </c>
      <c r="P16" s="26"/>
      <c r="Q16" s="26"/>
      <c r="R16" s="30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</vt:i4>
      </vt:variant>
    </vt:vector>
  </HeadingPairs>
  <TitlesOfParts>
    <vt:vector size="7" baseType="lpstr">
      <vt:lpstr>input</vt:lpstr>
      <vt:lpstr>main</vt:lpstr>
      <vt:lpstr>access</vt:lpstr>
      <vt:lpstr>Sheet1</vt:lpstr>
      <vt:lpstr>楽天</vt:lpstr>
      <vt:lpstr>楽天 (2)</vt:lpstr>
      <vt:lpstr>商品マスター_4972885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ITO SHINYA</dc:creator>
  <cp:lastModifiedBy>i</cp:lastModifiedBy>
  <dcterms:created xsi:type="dcterms:W3CDTF">2020-07-20T01:15:00Z</dcterms:created>
  <dcterms:modified xsi:type="dcterms:W3CDTF">2020-12-12T03:11:25Z</dcterms:modified>
</cp:coreProperties>
</file>